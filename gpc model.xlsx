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lee/Desktop/NYU/GPC LONG/"/>
    </mc:Choice>
  </mc:AlternateContent>
  <xr:revisionPtr revIDLastSave="0" documentId="13_ncr:1_{B989C977-A8AF-9941-83C9-AE51D3F18678}" xr6:coauthVersionLast="47" xr6:coauthVersionMax="47" xr10:uidLastSave="{00000000-0000-0000-0000-000000000000}"/>
  <bookViews>
    <workbookView xWindow="1720" yWindow="1200" windowWidth="27680" windowHeight="16760" activeTab="1" xr2:uid="{B2D8BFE9-8D5C-F54E-BA9E-921BA300FD73}"/>
  </bookViews>
  <sheets>
    <sheet name="Cover" sheetId="3" r:id="rId1"/>
    <sheet name="Summary" sheetId="4" r:id="rId2"/>
    <sheet name="Financial Statements" sheetId="11" r:id="rId3"/>
    <sheet name="Revenue Build" sheetId="12" r:id="rId4"/>
    <sheet name="Assumptions" sheetId="13" r:id="rId5"/>
    <sheet name="Calculations &amp; Schedules" sheetId="14" r:id="rId6"/>
    <sheet name="DCF" sheetId="16" r:id="rId7"/>
    <sheet name="WACC" sheetId="15" r:id="rId8"/>
    <sheet name="Comps" sheetId="17" r:id="rId9"/>
    <sheet name="Base Case Revenue Projection" sheetId="5" r:id="rId10"/>
    <sheet name="Terminal Values (Base)" sheetId="6" r:id="rId11"/>
    <sheet name="Bear Case Projection" sheetId="9" r:id="rId12"/>
    <sheet name="Bull Case Projection" sheetId="10" r:id="rId13"/>
  </sheets>
  <externalReferences>
    <externalReference r:id="rId14"/>
  </externalReferences>
  <definedNames>
    <definedName name="CASE">[1]Drivers!$B$8</definedName>
    <definedName name="CIQWBGuid" hidden="1">"2018718d-23c8-413d-9435-4d375546791f"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45930.8202083333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E27" i="4"/>
  <c r="C27" i="4"/>
  <c r="D25" i="4"/>
  <c r="E25" i="4"/>
  <c r="C25" i="4"/>
  <c r="D22" i="4"/>
  <c r="E22" i="4"/>
  <c r="C22" i="4"/>
  <c r="D17" i="4"/>
  <c r="E17" i="4"/>
  <c r="C17" i="4"/>
  <c r="I19" i="4"/>
  <c r="J19" i="4"/>
  <c r="H19" i="4"/>
  <c r="J18" i="4"/>
  <c r="I18" i="4"/>
  <c r="I16" i="4"/>
  <c r="J16" i="4"/>
  <c r="H16" i="4"/>
  <c r="J12" i="4"/>
  <c r="J23" i="4" s="1"/>
  <c r="I12" i="4"/>
  <c r="I23" i="4" s="1"/>
  <c r="H12" i="4"/>
  <c r="H23" i="4" s="1"/>
  <c r="C2" i="17"/>
  <c r="C2" i="15"/>
  <c r="C2" i="16"/>
  <c r="C2" i="14"/>
  <c r="C2" i="13"/>
  <c r="C2" i="12"/>
  <c r="C2" i="11"/>
  <c r="E10" i="4"/>
  <c r="S26" i="16"/>
  <c r="S27" i="16" s="1"/>
  <c r="S28" i="16" s="1"/>
  <c r="S24" i="16"/>
  <c r="S23" i="16"/>
  <c r="S22" i="16"/>
  <c r="X21" i="16"/>
  <c r="Y21" i="16" s="1"/>
  <c r="Z21" i="16" s="1"/>
  <c r="V21" i="16"/>
  <c r="U21" i="16"/>
  <c r="T21" i="16"/>
  <c r="S15" i="16"/>
  <c r="S16" i="16"/>
  <c r="S14" i="16"/>
  <c r="S11" i="16"/>
  <c r="S10" i="16" s="1"/>
  <c r="S12" i="16"/>
  <c r="Y9" i="16"/>
  <c r="Z9" i="16"/>
  <c r="X9" i="16"/>
  <c r="U9" i="16"/>
  <c r="T9" i="16" s="1"/>
  <c r="V9" i="16"/>
  <c r="P17" i="16"/>
  <c r="P10" i="16"/>
  <c r="M17" i="16"/>
  <c r="C19" i="17"/>
  <c r="E17" i="17"/>
  <c r="F17" i="17"/>
  <c r="G17" i="17"/>
  <c r="H17" i="17"/>
  <c r="I17" i="17"/>
  <c r="J17" i="17"/>
  <c r="K17" i="17"/>
  <c r="L17" i="17"/>
  <c r="E16" i="17"/>
  <c r="F16" i="17"/>
  <c r="G16" i="17"/>
  <c r="H16" i="17"/>
  <c r="I16" i="17"/>
  <c r="J16" i="17"/>
  <c r="K16" i="17"/>
  <c r="L16" i="17"/>
  <c r="E15" i="17"/>
  <c r="F15" i="17"/>
  <c r="G15" i="17"/>
  <c r="H15" i="17"/>
  <c r="I15" i="17"/>
  <c r="J15" i="17"/>
  <c r="K15" i="17"/>
  <c r="L15" i="17"/>
  <c r="E14" i="17"/>
  <c r="F14" i="17"/>
  <c r="G14" i="17"/>
  <c r="H14" i="17"/>
  <c r="I14" i="17"/>
  <c r="J14" i="17"/>
  <c r="K14" i="17"/>
  <c r="L14" i="17"/>
  <c r="E13" i="17"/>
  <c r="F13" i="17"/>
  <c r="G13" i="17"/>
  <c r="H13" i="17"/>
  <c r="I13" i="17"/>
  <c r="J13" i="17"/>
  <c r="K13" i="17"/>
  <c r="L13" i="17"/>
  <c r="E12" i="17"/>
  <c r="F12" i="17"/>
  <c r="G12" i="17"/>
  <c r="H12" i="17"/>
  <c r="I12" i="17"/>
  <c r="J12" i="17"/>
  <c r="K12" i="17"/>
  <c r="L12" i="17"/>
  <c r="C17" i="17"/>
  <c r="C16" i="17"/>
  <c r="C15" i="17"/>
  <c r="C14" i="17"/>
  <c r="C13" i="17"/>
  <c r="C12" i="17"/>
  <c r="C26" i="16"/>
  <c r="D26" i="16" s="1"/>
  <c r="E26" i="16" s="1"/>
  <c r="F26" i="16" s="1"/>
  <c r="G26" i="16" s="1"/>
  <c r="H26" i="16" s="1"/>
  <c r="D34" i="14"/>
  <c r="D33" i="14"/>
  <c r="E30" i="14" s="1"/>
  <c r="E34" i="14" s="1"/>
  <c r="F30" i="14" s="1"/>
  <c r="E33" i="14"/>
  <c r="D32" i="14"/>
  <c r="E32" i="14"/>
  <c r="D31" i="14"/>
  <c r="E31" i="14"/>
  <c r="C33" i="14"/>
  <c r="C34" i="14" s="1"/>
  <c r="D30" i="14" s="1"/>
  <c r="C32" i="14"/>
  <c r="C31" i="14"/>
  <c r="F22" i="14"/>
  <c r="E26" i="14"/>
  <c r="E22" i="14"/>
  <c r="D26" i="14"/>
  <c r="D25" i="14"/>
  <c r="E25" i="14"/>
  <c r="D27" i="14"/>
  <c r="E27" i="14"/>
  <c r="D22" i="14"/>
  <c r="C26" i="14"/>
  <c r="C27" i="14"/>
  <c r="D23" i="14"/>
  <c r="E23" i="14"/>
  <c r="C25" i="14"/>
  <c r="C23" i="14"/>
  <c r="C18" i="15"/>
  <c r="C17" i="15"/>
  <c r="C16" i="15"/>
  <c r="C12" i="15"/>
  <c r="C8" i="15"/>
  <c r="E19" i="14"/>
  <c r="D19" i="14"/>
  <c r="D18" i="14"/>
  <c r="E18" i="14"/>
  <c r="C18" i="14"/>
  <c r="D17" i="14"/>
  <c r="E17" i="14"/>
  <c r="C17" i="14"/>
  <c r="D15" i="14"/>
  <c r="E15" i="14"/>
  <c r="C15" i="14"/>
  <c r="D14" i="14"/>
  <c r="E14" i="14"/>
  <c r="C14" i="14"/>
  <c r="D13" i="14"/>
  <c r="E13" i="14"/>
  <c r="C13" i="14"/>
  <c r="D11" i="14"/>
  <c r="E11" i="14"/>
  <c r="C11" i="14"/>
  <c r="D10" i="14"/>
  <c r="E10" i="14"/>
  <c r="C10" i="14"/>
  <c r="D9" i="14"/>
  <c r="E9" i="14"/>
  <c r="C9" i="14"/>
  <c r="D8" i="14"/>
  <c r="E8" i="14"/>
  <c r="C8" i="14"/>
  <c r="E101" i="13"/>
  <c r="D101" i="13"/>
  <c r="C101" i="13"/>
  <c r="H98" i="13"/>
  <c r="I98" i="13"/>
  <c r="J98" i="13"/>
  <c r="K98" i="13"/>
  <c r="H97" i="13"/>
  <c r="I97" i="13"/>
  <c r="J97" i="13"/>
  <c r="K97" i="13"/>
  <c r="H96" i="13"/>
  <c r="I96" i="13"/>
  <c r="J96" i="13"/>
  <c r="K96" i="13"/>
  <c r="G98" i="13"/>
  <c r="G97" i="13"/>
  <c r="G96" i="13"/>
  <c r="D95" i="13"/>
  <c r="E95" i="13"/>
  <c r="C95" i="13"/>
  <c r="D87" i="13"/>
  <c r="E87" i="13"/>
  <c r="C87" i="13"/>
  <c r="E88" i="13"/>
  <c r="D88" i="13"/>
  <c r="C88" i="13"/>
  <c r="E81" i="13"/>
  <c r="E82" i="13" s="1"/>
  <c r="D81" i="13"/>
  <c r="D82" i="13" s="1"/>
  <c r="C81" i="13"/>
  <c r="C82" i="13" s="1"/>
  <c r="D75" i="13"/>
  <c r="E75" i="13"/>
  <c r="C75" i="13"/>
  <c r="E76" i="13"/>
  <c r="D76" i="13"/>
  <c r="C76" i="13"/>
  <c r="H73" i="13"/>
  <c r="I73" i="13"/>
  <c r="J73" i="13"/>
  <c r="K73" i="13"/>
  <c r="H72" i="13"/>
  <c r="I72" i="13"/>
  <c r="J72" i="13"/>
  <c r="K72" i="13"/>
  <c r="G72" i="13"/>
  <c r="G73" i="13"/>
  <c r="H71" i="13"/>
  <c r="I71" i="13"/>
  <c r="J71" i="13"/>
  <c r="K71" i="13"/>
  <c r="G71" i="13"/>
  <c r="D70" i="13"/>
  <c r="E70" i="13"/>
  <c r="C70" i="13"/>
  <c r="E69" i="13"/>
  <c r="D69" i="13"/>
  <c r="C69" i="13"/>
  <c r="E63" i="13"/>
  <c r="D63" i="13"/>
  <c r="C63" i="13"/>
  <c r="E64" i="13"/>
  <c r="D64" i="13"/>
  <c r="C64" i="13"/>
  <c r="G23" i="13"/>
  <c r="H23" i="13"/>
  <c r="I23" i="13"/>
  <c r="J23" i="13"/>
  <c r="K23" i="13"/>
  <c r="D21" i="13"/>
  <c r="E21" i="13"/>
  <c r="C21" i="13"/>
  <c r="H61" i="13"/>
  <c r="I61" i="13"/>
  <c r="J61" i="13"/>
  <c r="K61" i="13"/>
  <c r="G61" i="13"/>
  <c r="H60" i="13"/>
  <c r="I60" i="13"/>
  <c r="J60" i="13"/>
  <c r="K60" i="13"/>
  <c r="G60" i="13"/>
  <c r="H59" i="13"/>
  <c r="I59" i="13"/>
  <c r="J59" i="13"/>
  <c r="K59" i="13"/>
  <c r="G59" i="13"/>
  <c r="D57" i="13"/>
  <c r="E57" i="13"/>
  <c r="C57" i="13"/>
  <c r="E58" i="13"/>
  <c r="D58" i="13"/>
  <c r="C58" i="13"/>
  <c r="D51" i="13"/>
  <c r="E51" i="13"/>
  <c r="C51" i="13"/>
  <c r="E50" i="13"/>
  <c r="D50" i="13"/>
  <c r="C50" i="13"/>
  <c r="E44" i="13"/>
  <c r="D44" i="13"/>
  <c r="C44" i="13"/>
  <c r="E45" i="13"/>
  <c r="D45" i="13"/>
  <c r="C45" i="13"/>
  <c r="E38" i="13"/>
  <c r="D38" i="13"/>
  <c r="C38" i="13"/>
  <c r="E39" i="13"/>
  <c r="D39" i="13"/>
  <c r="C39" i="13"/>
  <c r="E32" i="13"/>
  <c r="D32" i="13"/>
  <c r="C32" i="13"/>
  <c r="E33" i="13"/>
  <c r="D33" i="13"/>
  <c r="C33" i="13"/>
  <c r="E26" i="13"/>
  <c r="D26" i="13"/>
  <c r="C26" i="13"/>
  <c r="E27" i="13"/>
  <c r="D27" i="13"/>
  <c r="C27" i="13"/>
  <c r="E20" i="13"/>
  <c r="D20" i="13"/>
  <c r="C20" i="13"/>
  <c r="F23" i="13"/>
  <c r="F17" i="13"/>
  <c r="E14" i="13"/>
  <c r="D14" i="13"/>
  <c r="C14" i="13"/>
  <c r="F18" i="13"/>
  <c r="G18" i="13" s="1"/>
  <c r="H18" i="13" s="1"/>
  <c r="I18" i="13" s="1"/>
  <c r="J18" i="13" s="1"/>
  <c r="K18" i="13" s="1"/>
  <c r="G17" i="13"/>
  <c r="H17" i="13" s="1"/>
  <c r="I17" i="13" s="1"/>
  <c r="J17" i="13" s="1"/>
  <c r="K17" i="13" s="1"/>
  <c r="G16" i="13"/>
  <c r="H16" i="13" s="1"/>
  <c r="E15" i="13"/>
  <c r="D15" i="13"/>
  <c r="C15" i="13"/>
  <c r="H12" i="13"/>
  <c r="I12" i="13"/>
  <c r="J12" i="13"/>
  <c r="K12" i="13"/>
  <c r="H11" i="13"/>
  <c r="I11" i="13"/>
  <c r="J11" i="13"/>
  <c r="K11" i="13"/>
  <c r="G12" i="13"/>
  <c r="G11" i="13"/>
  <c r="H10" i="13"/>
  <c r="I10" i="13"/>
  <c r="J10" i="13"/>
  <c r="K10" i="13"/>
  <c r="G10" i="13"/>
  <c r="F12" i="13"/>
  <c r="F11" i="13"/>
  <c r="D9" i="13"/>
  <c r="E9" i="13"/>
  <c r="D8" i="13"/>
  <c r="E8" i="13"/>
  <c r="C9" i="13"/>
  <c r="C8" i="13"/>
  <c r="H52" i="12"/>
  <c r="I52" i="12"/>
  <c r="J52" i="12"/>
  <c r="K52" i="12"/>
  <c r="H51" i="12"/>
  <c r="I51" i="12"/>
  <c r="J51" i="12"/>
  <c r="K51" i="12"/>
  <c r="G52" i="12"/>
  <c r="G51" i="12"/>
  <c r="H50" i="12"/>
  <c r="I50" i="12"/>
  <c r="J50" i="12"/>
  <c r="K50" i="12"/>
  <c r="G50" i="12"/>
  <c r="E49" i="12"/>
  <c r="D49" i="12"/>
  <c r="E43" i="12"/>
  <c r="D43" i="12"/>
  <c r="E39" i="12"/>
  <c r="D39" i="12"/>
  <c r="C39" i="12"/>
  <c r="E24" i="12"/>
  <c r="D24" i="12"/>
  <c r="D23" i="12"/>
  <c r="E23" i="12"/>
  <c r="C23" i="12"/>
  <c r="K36" i="12"/>
  <c r="K35" i="12"/>
  <c r="K34" i="12"/>
  <c r="H36" i="12"/>
  <c r="I36" i="12" s="1"/>
  <c r="J36" i="12" s="1"/>
  <c r="H35" i="12"/>
  <c r="I35" i="12" s="1"/>
  <c r="J35" i="12" s="1"/>
  <c r="H34" i="12"/>
  <c r="I34" i="12"/>
  <c r="J34" i="12"/>
  <c r="G36" i="12"/>
  <c r="G35" i="12"/>
  <c r="G34" i="12"/>
  <c r="K30" i="12"/>
  <c r="K29" i="12"/>
  <c r="K28" i="12"/>
  <c r="H30" i="12"/>
  <c r="I30" i="12"/>
  <c r="J30" i="12"/>
  <c r="H29" i="12"/>
  <c r="I29" i="12"/>
  <c r="J29" i="12"/>
  <c r="H28" i="12"/>
  <c r="I28" i="12"/>
  <c r="J28" i="12"/>
  <c r="G30" i="12"/>
  <c r="G29" i="12"/>
  <c r="G28" i="12"/>
  <c r="E33" i="12"/>
  <c r="D33" i="12"/>
  <c r="E27" i="12"/>
  <c r="D27" i="12"/>
  <c r="H20" i="12"/>
  <c r="I20" i="12" s="1"/>
  <c r="J20" i="12" s="1"/>
  <c r="K20" i="12" s="1"/>
  <c r="G20" i="12"/>
  <c r="H19" i="12"/>
  <c r="I19" i="12"/>
  <c r="J19" i="12" s="1"/>
  <c r="K19" i="12" s="1"/>
  <c r="G19" i="12"/>
  <c r="H18" i="12"/>
  <c r="I18" i="12"/>
  <c r="J18" i="12"/>
  <c r="K18" i="12"/>
  <c r="G18" i="12"/>
  <c r="H14" i="12"/>
  <c r="I14" i="12" s="1"/>
  <c r="J14" i="12" s="1"/>
  <c r="K14" i="12" s="1"/>
  <c r="H13" i="12"/>
  <c r="I13" i="12"/>
  <c r="J13" i="12"/>
  <c r="K13" i="12" s="1"/>
  <c r="H12" i="12"/>
  <c r="I12" i="12"/>
  <c r="J12" i="12"/>
  <c r="K12" i="12"/>
  <c r="G14" i="12"/>
  <c r="G13" i="12"/>
  <c r="G12" i="12"/>
  <c r="E8" i="12"/>
  <c r="D8" i="12"/>
  <c r="D7" i="12"/>
  <c r="E7" i="12"/>
  <c r="C7" i="12"/>
  <c r="E17" i="12"/>
  <c r="D17" i="12"/>
  <c r="E11" i="12"/>
  <c r="D11" i="12"/>
  <c r="I8" i="4"/>
  <c r="I10" i="4" s="1"/>
  <c r="J8" i="4"/>
  <c r="J10" i="4" s="1"/>
  <c r="H8" i="4"/>
  <c r="H10" i="4" s="1"/>
  <c r="E101" i="11"/>
  <c r="E92" i="11"/>
  <c r="D101" i="11"/>
  <c r="D92" i="11"/>
  <c r="C101" i="11"/>
  <c r="C92" i="11"/>
  <c r="E59" i="11"/>
  <c r="E61" i="11" s="1"/>
  <c r="E48" i="11"/>
  <c r="E34" i="11"/>
  <c r="E40" i="11" s="1"/>
  <c r="D59" i="11"/>
  <c r="D61" i="11" s="1"/>
  <c r="D48" i="11"/>
  <c r="D34" i="11"/>
  <c r="D40" i="11" s="1"/>
  <c r="C59" i="11"/>
  <c r="C61" i="11" s="1"/>
  <c r="C48" i="11"/>
  <c r="C34" i="11"/>
  <c r="C40" i="11" s="1"/>
  <c r="E21" i="11"/>
  <c r="E17" i="11"/>
  <c r="E12" i="11"/>
  <c r="E10" i="11"/>
  <c r="D21" i="11"/>
  <c r="D17" i="11"/>
  <c r="D12" i="11"/>
  <c r="D18" i="11" s="1"/>
  <c r="D22" i="11" s="1"/>
  <c r="D24" i="11" s="1"/>
  <c r="D67" i="11" s="1"/>
  <c r="D82" i="11" s="1"/>
  <c r="D104" i="11" s="1"/>
  <c r="D10" i="11"/>
  <c r="C21" i="11"/>
  <c r="C17" i="11"/>
  <c r="C12" i="11"/>
  <c r="P7" i="4"/>
  <c r="O7" i="4"/>
  <c r="N7" i="4"/>
  <c r="M7" i="4"/>
  <c r="L7" i="4"/>
  <c r="K7" i="4"/>
  <c r="J7" i="4"/>
  <c r="I7" i="4"/>
  <c r="H7" i="4"/>
  <c r="E12" i="4"/>
  <c r="K8" i="10"/>
  <c r="K8" i="9"/>
  <c r="E16" i="5"/>
  <c r="F16" i="5"/>
  <c r="G16" i="5"/>
  <c r="H16" i="5"/>
  <c r="I16" i="5"/>
  <c r="E17" i="5"/>
  <c r="F17" i="5"/>
  <c r="G17" i="5"/>
  <c r="H17" i="5"/>
  <c r="I17" i="5"/>
  <c r="D16" i="5"/>
  <c r="K8" i="5"/>
  <c r="K16" i="5"/>
  <c r="D17" i="5"/>
  <c r="K23" i="5"/>
  <c r="K27" i="5"/>
  <c r="K11" i="5"/>
  <c r="K19" i="5"/>
  <c r="E29" i="5"/>
  <c r="F29" i="5"/>
  <c r="G29" i="5"/>
  <c r="H29" i="5"/>
  <c r="I29" i="5"/>
  <c r="D29" i="5"/>
  <c r="I27" i="4" l="1"/>
  <c r="I20" i="4"/>
  <c r="J27" i="4"/>
  <c r="J20" i="4"/>
  <c r="H27" i="4"/>
  <c r="H20" i="4"/>
  <c r="H22" i="4"/>
  <c r="I22" i="4"/>
  <c r="J22" i="4"/>
  <c r="D10" i="17"/>
  <c r="K76" i="13"/>
  <c r="J70" i="13"/>
  <c r="G70" i="13"/>
  <c r="G64" i="13"/>
  <c r="G58" i="13"/>
  <c r="J51" i="13"/>
  <c r="H51" i="13"/>
  <c r="F51" i="13"/>
  <c r="J45" i="13"/>
  <c r="G45" i="13"/>
  <c r="K39" i="13"/>
  <c r="H39" i="13"/>
  <c r="K33" i="13"/>
  <c r="G33" i="13"/>
  <c r="G21" i="13"/>
  <c r="G9" i="13"/>
  <c r="K9" i="13"/>
  <c r="J76" i="13"/>
  <c r="H76" i="13"/>
  <c r="G76" i="13"/>
  <c r="F76" i="13"/>
  <c r="K70" i="13"/>
  <c r="I70" i="13"/>
  <c r="H70" i="13"/>
  <c r="F70" i="13"/>
  <c r="F64" i="13"/>
  <c r="F58" i="13"/>
  <c r="I51" i="13"/>
  <c r="G51" i="13"/>
  <c r="K45" i="13"/>
  <c r="H45" i="13"/>
  <c r="F45" i="13"/>
  <c r="I39" i="13"/>
  <c r="G39" i="13"/>
  <c r="J33" i="13"/>
  <c r="F33" i="13"/>
  <c r="G15" i="13"/>
  <c r="J9" i="13"/>
  <c r="I76" i="13"/>
  <c r="I45" i="13"/>
  <c r="J39" i="13"/>
  <c r="F39" i="13"/>
  <c r="H33" i="13"/>
  <c r="F27" i="13"/>
  <c r="F15" i="13"/>
  <c r="I9" i="13"/>
  <c r="F9" i="13"/>
  <c r="K51" i="13"/>
  <c r="I33" i="13"/>
  <c r="F21" i="13"/>
  <c r="H9" i="13"/>
  <c r="F49" i="12"/>
  <c r="F48" i="12" s="1"/>
  <c r="H33" i="12"/>
  <c r="K27" i="12"/>
  <c r="J27" i="12"/>
  <c r="I17" i="12"/>
  <c r="F17" i="12"/>
  <c r="F16" i="12" s="1"/>
  <c r="J11" i="12"/>
  <c r="G49" i="12"/>
  <c r="J33" i="12"/>
  <c r="G27" i="12"/>
  <c r="G17" i="12"/>
  <c r="K17" i="12"/>
  <c r="G11" i="12"/>
  <c r="K11" i="12"/>
  <c r="K33" i="12"/>
  <c r="G33" i="12"/>
  <c r="F33" i="12"/>
  <c r="F32" i="12" s="1"/>
  <c r="H27" i="12"/>
  <c r="H17" i="12"/>
  <c r="I11" i="12"/>
  <c r="F11" i="12"/>
  <c r="F10" i="12" s="1"/>
  <c r="F43" i="12"/>
  <c r="F42" i="12" s="1"/>
  <c r="I33" i="12"/>
  <c r="I27" i="12"/>
  <c r="F27" i="12"/>
  <c r="F26" i="12" s="1"/>
  <c r="J17" i="12"/>
  <c r="H11" i="12"/>
  <c r="J88" i="13"/>
  <c r="H88" i="13"/>
  <c r="G88" i="13"/>
  <c r="F88" i="13"/>
  <c r="G82" i="13"/>
  <c r="F82" i="13"/>
  <c r="I88" i="13"/>
  <c r="G95" i="13"/>
  <c r="K88" i="13"/>
  <c r="F95" i="13"/>
  <c r="G101" i="13"/>
  <c r="F101" i="13"/>
  <c r="D27" i="16"/>
  <c r="F27" i="16"/>
  <c r="G27" i="16"/>
  <c r="H27" i="16"/>
  <c r="C27" i="16"/>
  <c r="E27" i="16"/>
  <c r="K5" i="11"/>
  <c r="K5" i="13"/>
  <c r="K5" i="12"/>
  <c r="K5" i="14"/>
  <c r="J5" i="14"/>
  <c r="J5" i="12"/>
  <c r="J5" i="11"/>
  <c r="J5" i="13"/>
  <c r="I5" i="14"/>
  <c r="I5" i="11"/>
  <c r="I5" i="12"/>
  <c r="I5" i="13"/>
  <c r="H5" i="11"/>
  <c r="H5" i="14"/>
  <c r="H5" i="12"/>
  <c r="H5" i="13"/>
  <c r="G5" i="11"/>
  <c r="G5" i="13"/>
  <c r="G5" i="12"/>
  <c r="G5" i="14"/>
  <c r="F5" i="13"/>
  <c r="F5" i="14"/>
  <c r="F5" i="12"/>
  <c r="F5" i="11"/>
  <c r="E5" i="14"/>
  <c r="E5" i="12"/>
  <c r="E5" i="11"/>
  <c r="E5" i="13"/>
  <c r="D5" i="13"/>
  <c r="D5" i="14"/>
  <c r="D5" i="12"/>
  <c r="D5" i="11"/>
  <c r="C5" i="13"/>
  <c r="C5" i="12"/>
  <c r="C5" i="14"/>
  <c r="C5" i="11"/>
  <c r="H101" i="13"/>
  <c r="H95" i="13"/>
  <c r="H82" i="13"/>
  <c r="H64" i="13"/>
  <c r="H58" i="13"/>
  <c r="G27" i="13"/>
  <c r="H27" i="13"/>
  <c r="H21" i="13"/>
  <c r="I16" i="13"/>
  <c r="H15" i="13"/>
  <c r="E40" i="12"/>
  <c r="D40" i="12"/>
  <c r="H49" i="12"/>
  <c r="G43" i="12"/>
  <c r="E62" i="11"/>
  <c r="E63" i="11"/>
  <c r="D62" i="11"/>
  <c r="D63" i="11" s="1"/>
  <c r="C62" i="11"/>
  <c r="C63" i="11" s="1"/>
  <c r="E18" i="11"/>
  <c r="E22" i="11" s="1"/>
  <c r="E24" i="11" s="1"/>
  <c r="E67" i="11" s="1"/>
  <c r="E82" i="11" s="1"/>
  <c r="E104" i="11" s="1"/>
  <c r="C18" i="11"/>
  <c r="C22" i="11" s="1"/>
  <c r="C24" i="11" s="1"/>
  <c r="C67" i="11" s="1"/>
  <c r="C82" i="11" s="1"/>
  <c r="C104" i="11" s="1"/>
  <c r="C106" i="11" s="1"/>
  <c r="D105" i="11" s="1"/>
  <c r="D106" i="11" s="1"/>
  <c r="E105" i="11" s="1"/>
  <c r="E106" i="11" s="1"/>
  <c r="N26" i="10"/>
  <c r="N24" i="10"/>
  <c r="N28" i="10" s="1"/>
  <c r="I29" i="10"/>
  <c r="K11" i="10"/>
  <c r="N26" i="9"/>
  <c r="N24" i="9"/>
  <c r="I29" i="9"/>
  <c r="K11" i="9"/>
  <c r="C22" i="6"/>
  <c r="C20" i="6"/>
  <c r="C24" i="6" s="1"/>
  <c r="D17" i="17" l="1"/>
  <c r="C37" i="14"/>
  <c r="D15" i="17"/>
  <c r="D12" i="17"/>
  <c r="D13" i="17"/>
  <c r="D14" i="17"/>
  <c r="D16" i="17"/>
  <c r="G32" i="12"/>
  <c r="H32" i="12" s="1"/>
  <c r="I32" i="12" s="1"/>
  <c r="J32" i="12" s="1"/>
  <c r="K32" i="12" s="1"/>
  <c r="G48" i="12"/>
  <c r="G16" i="12"/>
  <c r="H16" i="12" s="1"/>
  <c r="I16" i="12" s="1"/>
  <c r="J16" i="12" s="1"/>
  <c r="K16" i="12" s="1"/>
  <c r="F39" i="12"/>
  <c r="F40" i="12" s="1"/>
  <c r="G42" i="12"/>
  <c r="F7" i="12"/>
  <c r="G10" i="12"/>
  <c r="G26" i="12"/>
  <c r="F23" i="12"/>
  <c r="F24" i="12" s="1"/>
  <c r="I101" i="13"/>
  <c r="I95" i="13"/>
  <c r="I82" i="13"/>
  <c r="I64" i="13"/>
  <c r="I58" i="13"/>
  <c r="I27" i="13"/>
  <c r="I21" i="13"/>
  <c r="J16" i="13"/>
  <c r="I15" i="13"/>
  <c r="I49" i="12"/>
  <c r="H43" i="12"/>
  <c r="N28" i="9"/>
  <c r="H48" i="12" l="1"/>
  <c r="I48" i="12" s="1"/>
  <c r="G39" i="12"/>
  <c r="G40" i="12" s="1"/>
  <c r="H42" i="12"/>
  <c r="C8" i="16"/>
  <c r="F8" i="12"/>
  <c r="F9" i="11"/>
  <c r="G7" i="12"/>
  <c r="H10" i="12"/>
  <c r="H26" i="12"/>
  <c r="G23" i="12"/>
  <c r="G24" i="12" s="1"/>
  <c r="K101" i="13"/>
  <c r="J101" i="13"/>
  <c r="K95" i="13"/>
  <c r="J95" i="13"/>
  <c r="K82" i="13"/>
  <c r="J82" i="13"/>
  <c r="K64" i="13"/>
  <c r="J64" i="13"/>
  <c r="K58" i="13"/>
  <c r="J58" i="13"/>
  <c r="K27" i="13"/>
  <c r="J27" i="13"/>
  <c r="K21" i="13"/>
  <c r="J21" i="13"/>
  <c r="K16" i="13"/>
  <c r="K15" i="13" s="1"/>
  <c r="J15" i="13"/>
  <c r="K49" i="12"/>
  <c r="J49" i="12"/>
  <c r="I43" i="12"/>
  <c r="K27" i="10"/>
  <c r="K27" i="9"/>
  <c r="D29" i="10"/>
  <c r="C9" i="16" l="1"/>
  <c r="H39" i="12"/>
  <c r="H40" i="12" s="1"/>
  <c r="I42" i="12"/>
  <c r="I39" i="12" s="1"/>
  <c r="F57" i="13"/>
  <c r="F14" i="13"/>
  <c r="F75" i="13"/>
  <c r="F10" i="14" s="1"/>
  <c r="F87" i="13"/>
  <c r="F14" i="14" s="1"/>
  <c r="F63" i="13"/>
  <c r="F8" i="14" s="1"/>
  <c r="F38" i="13"/>
  <c r="F19" i="11" s="1"/>
  <c r="F44" i="13"/>
  <c r="F20" i="11" s="1"/>
  <c r="F26" i="13"/>
  <c r="F32" i="13"/>
  <c r="F8" i="13"/>
  <c r="K8" i="4"/>
  <c r="F10" i="11"/>
  <c r="K18" i="4" s="1"/>
  <c r="D8" i="16"/>
  <c r="G9" i="11"/>
  <c r="G8" i="12"/>
  <c r="H7" i="12"/>
  <c r="I10" i="12"/>
  <c r="H23" i="12"/>
  <c r="H24" i="12" s="1"/>
  <c r="I26" i="12"/>
  <c r="J48" i="12"/>
  <c r="K48" i="12" s="1"/>
  <c r="K43" i="12"/>
  <c r="J43" i="12"/>
  <c r="D29" i="9"/>
  <c r="D9" i="16" l="1"/>
  <c r="I40" i="12"/>
  <c r="F21" i="11"/>
  <c r="J42" i="12"/>
  <c r="C23" i="16"/>
  <c r="F20" i="13"/>
  <c r="F23" i="14"/>
  <c r="C13" i="16"/>
  <c r="F13" i="11"/>
  <c r="F15" i="11"/>
  <c r="C15" i="16"/>
  <c r="F16" i="11"/>
  <c r="C16" i="16"/>
  <c r="C10" i="16"/>
  <c r="C11" i="16" s="1"/>
  <c r="C12" i="16" s="1"/>
  <c r="F11" i="11"/>
  <c r="G87" i="13"/>
  <c r="G14" i="14" s="1"/>
  <c r="G32" i="13"/>
  <c r="G44" i="13"/>
  <c r="G20" i="11" s="1"/>
  <c r="L8" i="4"/>
  <c r="G57" i="13"/>
  <c r="G8" i="13"/>
  <c r="G14" i="13"/>
  <c r="G10" i="11"/>
  <c r="L18" i="4" s="1"/>
  <c r="E8" i="16"/>
  <c r="H9" i="11"/>
  <c r="H8" i="12"/>
  <c r="I7" i="12"/>
  <c r="J10" i="12"/>
  <c r="I23" i="12"/>
  <c r="I24" i="12" s="1"/>
  <c r="J26" i="12"/>
  <c r="G63" i="13"/>
  <c r="G8" i="14" s="1"/>
  <c r="G75" i="13"/>
  <c r="G10" i="14" s="1"/>
  <c r="G38" i="13"/>
  <c r="G19" i="11" s="1"/>
  <c r="G26" i="13"/>
  <c r="E29" i="10"/>
  <c r="F29" i="10"/>
  <c r="E9" i="16" l="1"/>
  <c r="H57" i="13"/>
  <c r="H44" i="13"/>
  <c r="H20" i="11" s="1"/>
  <c r="H32" i="13"/>
  <c r="H38" i="13"/>
  <c r="H19" i="11" s="1"/>
  <c r="H26" i="13"/>
  <c r="H8" i="13"/>
  <c r="H14" i="13"/>
  <c r="H10" i="11"/>
  <c r="M18" i="4" s="1"/>
  <c r="F8" i="16"/>
  <c r="I9" i="11"/>
  <c r="I8" i="12"/>
  <c r="J7" i="12"/>
  <c r="K10" i="12"/>
  <c r="K7" i="12" s="1"/>
  <c r="J23" i="12"/>
  <c r="J24" i="12" s="1"/>
  <c r="K26" i="12"/>
  <c r="K23" i="12" s="1"/>
  <c r="G21" i="11"/>
  <c r="D13" i="16"/>
  <c r="G13" i="11"/>
  <c r="H75" i="13"/>
  <c r="H10" i="14" s="1"/>
  <c r="M8" i="4"/>
  <c r="H63" i="13"/>
  <c r="H8" i="14" s="1"/>
  <c r="H87" i="13"/>
  <c r="H14" i="14" s="1"/>
  <c r="K42" i="12"/>
  <c r="K39" i="12" s="1"/>
  <c r="J39" i="12"/>
  <c r="J40" i="12" s="1"/>
  <c r="C14" i="16"/>
  <c r="C17" i="16" s="1"/>
  <c r="C22" i="16"/>
  <c r="F14" i="11"/>
  <c r="F17" i="11" s="1"/>
  <c r="F24" i="14"/>
  <c r="F27" i="14" s="1"/>
  <c r="G22" i="14" s="1"/>
  <c r="K10" i="4"/>
  <c r="K22" i="4" s="1"/>
  <c r="F81" i="13"/>
  <c r="F13" i="14" s="1"/>
  <c r="F15" i="14" s="1"/>
  <c r="F69" i="13"/>
  <c r="F9" i="14" s="1"/>
  <c r="F11" i="14" s="1"/>
  <c r="F12" i="11"/>
  <c r="K19" i="4" s="1"/>
  <c r="G16" i="11"/>
  <c r="D16" i="16"/>
  <c r="D23" i="16"/>
  <c r="G20" i="13"/>
  <c r="G23" i="14"/>
  <c r="D10" i="16"/>
  <c r="D11" i="16" s="1"/>
  <c r="D12" i="16" s="1"/>
  <c r="G11" i="11"/>
  <c r="G15" i="11"/>
  <c r="D15" i="16"/>
  <c r="E29" i="9"/>
  <c r="F29" i="9"/>
  <c r="G29" i="10"/>
  <c r="C18" i="16" l="1"/>
  <c r="C38" i="14"/>
  <c r="C39" i="14" s="1"/>
  <c r="K20" i="4"/>
  <c r="K27" i="4"/>
  <c r="K24" i="12"/>
  <c r="H21" i="11"/>
  <c r="F9" i="16"/>
  <c r="J8" i="12"/>
  <c r="K8" i="12"/>
  <c r="G8" i="16"/>
  <c r="J9" i="11"/>
  <c r="F18" i="11"/>
  <c r="E16" i="16"/>
  <c r="H16" i="11"/>
  <c r="H8" i="16"/>
  <c r="J8" i="16" s="1"/>
  <c r="K9" i="11"/>
  <c r="H15" i="11"/>
  <c r="E15" i="16"/>
  <c r="I75" i="13"/>
  <c r="I10" i="14" s="1"/>
  <c r="I87" i="13"/>
  <c r="I14" i="14" s="1"/>
  <c r="N8" i="4"/>
  <c r="I63" i="13"/>
  <c r="I8" i="14" s="1"/>
  <c r="I26" i="13"/>
  <c r="I14" i="13"/>
  <c r="I57" i="13"/>
  <c r="I44" i="13"/>
  <c r="I20" i="11" s="1"/>
  <c r="I8" i="13"/>
  <c r="I10" i="11"/>
  <c r="N18" i="4" s="1"/>
  <c r="G69" i="13"/>
  <c r="G9" i="14" s="1"/>
  <c r="G11" i="14" s="1"/>
  <c r="G12" i="11"/>
  <c r="L19" i="4" s="1"/>
  <c r="G81" i="13"/>
  <c r="G13" i="14" s="1"/>
  <c r="G15" i="14" s="1"/>
  <c r="L10" i="4"/>
  <c r="L22" i="4" s="1"/>
  <c r="E23" i="16"/>
  <c r="H23" i="14"/>
  <c r="H20" i="13"/>
  <c r="E10" i="16"/>
  <c r="E11" i="16" s="1"/>
  <c r="E12" i="16" s="1"/>
  <c r="H11" i="11"/>
  <c r="K40" i="12"/>
  <c r="F17" i="14"/>
  <c r="H13" i="11"/>
  <c r="E13" i="16"/>
  <c r="I32" i="13"/>
  <c r="I38" i="13"/>
  <c r="I19" i="11" s="1"/>
  <c r="G14" i="11"/>
  <c r="G17" i="11" s="1"/>
  <c r="D14" i="16"/>
  <c r="D17" i="16" s="1"/>
  <c r="D22" i="16"/>
  <c r="G24" i="14"/>
  <c r="G27" i="14" s="1"/>
  <c r="H22" i="14" s="1"/>
  <c r="G29" i="9"/>
  <c r="D18" i="16" l="1"/>
  <c r="L20" i="4"/>
  <c r="L27" i="4"/>
  <c r="G9" i="16"/>
  <c r="H9" i="16"/>
  <c r="H14" i="11"/>
  <c r="H17" i="11" s="1"/>
  <c r="H24" i="14"/>
  <c r="H27" i="14" s="1"/>
  <c r="I22" i="14" s="1"/>
  <c r="I16" i="11"/>
  <c r="F16" i="16"/>
  <c r="I21" i="11"/>
  <c r="I15" i="11"/>
  <c r="F15" i="16"/>
  <c r="E14" i="16"/>
  <c r="E17" i="16" s="1"/>
  <c r="E18" i="16" s="1"/>
  <c r="E22" i="16"/>
  <c r="M10" i="4"/>
  <c r="M22" i="4" s="1"/>
  <c r="J63" i="13"/>
  <c r="J8" i="14" s="1"/>
  <c r="J44" i="13"/>
  <c r="J20" i="11" s="1"/>
  <c r="J26" i="13"/>
  <c r="O8" i="4"/>
  <c r="J57" i="13"/>
  <c r="J8" i="13"/>
  <c r="J75" i="13"/>
  <c r="J10" i="14" s="1"/>
  <c r="J38" i="13"/>
  <c r="J19" i="11" s="1"/>
  <c r="J14" i="13"/>
  <c r="J87" i="13"/>
  <c r="J14" i="14" s="1"/>
  <c r="J32" i="13"/>
  <c r="J10" i="11"/>
  <c r="O18" i="4" s="1"/>
  <c r="F50" i="13"/>
  <c r="F22" i="11"/>
  <c r="G18" i="11"/>
  <c r="K75" i="13"/>
  <c r="K10" i="14" s="1"/>
  <c r="K87" i="13"/>
  <c r="K14" i="14" s="1"/>
  <c r="K63" i="13"/>
  <c r="K8" i="14" s="1"/>
  <c r="K57" i="13"/>
  <c r="K44" i="13"/>
  <c r="K20" i="11" s="1"/>
  <c r="K32" i="13"/>
  <c r="K38" i="13"/>
  <c r="K19" i="11" s="1"/>
  <c r="K26" i="13"/>
  <c r="P8" i="4"/>
  <c r="K8" i="13"/>
  <c r="K14" i="13"/>
  <c r="K10" i="11"/>
  <c r="P18" i="4" s="1"/>
  <c r="G17" i="14"/>
  <c r="I13" i="11"/>
  <c r="F13" i="16"/>
  <c r="F23" i="16"/>
  <c r="I20" i="13"/>
  <c r="I23" i="14"/>
  <c r="F10" i="16"/>
  <c r="F11" i="16" s="1"/>
  <c r="F12" i="16" s="1"/>
  <c r="I11" i="11"/>
  <c r="I81" i="13" s="1"/>
  <c r="I13" i="14" s="1"/>
  <c r="I15" i="14" s="1"/>
  <c r="H81" i="13"/>
  <c r="H13" i="14" s="1"/>
  <c r="H15" i="14" s="1"/>
  <c r="H12" i="11"/>
  <c r="M19" i="4" s="1"/>
  <c r="H69" i="13"/>
  <c r="H9" i="14" s="1"/>
  <c r="H11" i="14" s="1"/>
  <c r="F18" i="14"/>
  <c r="F19" i="14"/>
  <c r="H29" i="9"/>
  <c r="H29" i="10"/>
  <c r="M20" i="4" l="1"/>
  <c r="M27" i="4"/>
  <c r="C24" i="16"/>
  <c r="J21" i="11"/>
  <c r="H17" i="14"/>
  <c r="H10" i="16"/>
  <c r="H11" i="16" s="1"/>
  <c r="K11" i="11"/>
  <c r="K13" i="11"/>
  <c r="H13" i="16"/>
  <c r="G15" i="16"/>
  <c r="J15" i="11"/>
  <c r="G23" i="16"/>
  <c r="J20" i="13"/>
  <c r="J23" i="14"/>
  <c r="J16" i="11"/>
  <c r="G16" i="16"/>
  <c r="C19" i="16"/>
  <c r="F23" i="11"/>
  <c r="F24" i="11" s="1"/>
  <c r="K12" i="4" s="1"/>
  <c r="K23" i="4" s="1"/>
  <c r="G19" i="14"/>
  <c r="G18" i="14"/>
  <c r="G10" i="16"/>
  <c r="G11" i="16" s="1"/>
  <c r="G12" i="16" s="1"/>
  <c r="J11" i="11"/>
  <c r="J13" i="11"/>
  <c r="G13" i="16"/>
  <c r="K15" i="11"/>
  <c r="H15" i="16"/>
  <c r="K21" i="11"/>
  <c r="H18" i="11"/>
  <c r="F14" i="16"/>
  <c r="F17" i="16" s="1"/>
  <c r="F18" i="16" s="1"/>
  <c r="F22" i="16"/>
  <c r="G22" i="11"/>
  <c r="G50" i="13"/>
  <c r="H23" i="16"/>
  <c r="K20" i="13"/>
  <c r="K23" i="14"/>
  <c r="K16" i="11"/>
  <c r="H16" i="16"/>
  <c r="I14" i="11"/>
  <c r="I17" i="11" s="1"/>
  <c r="I24" i="14"/>
  <c r="I27" i="14" s="1"/>
  <c r="J22" i="14" s="1"/>
  <c r="N10" i="4"/>
  <c r="N22" i="4" s="1"/>
  <c r="I12" i="11"/>
  <c r="N19" i="4" s="1"/>
  <c r="I69" i="13"/>
  <c r="I9" i="14" s="1"/>
  <c r="I11" i="14" s="1"/>
  <c r="I17" i="14" s="1"/>
  <c r="F16" i="9"/>
  <c r="F17" i="9" s="1"/>
  <c r="E16" i="9"/>
  <c r="E17" i="9"/>
  <c r="H16" i="9"/>
  <c r="H17" i="9"/>
  <c r="I16" i="9"/>
  <c r="I17" i="9" s="1"/>
  <c r="K23" i="9"/>
  <c r="D16" i="9"/>
  <c r="G16" i="9"/>
  <c r="G17" i="9"/>
  <c r="D17" i="9"/>
  <c r="K19" i="9"/>
  <c r="N20" i="4" l="1"/>
  <c r="N27" i="4"/>
  <c r="D24" i="16"/>
  <c r="P10" i="4"/>
  <c r="P22" i="4" s="1"/>
  <c r="H19" i="14"/>
  <c r="H18" i="14"/>
  <c r="J11" i="16"/>
  <c r="H12" i="16"/>
  <c r="K81" i="13"/>
  <c r="K13" i="14" s="1"/>
  <c r="K15" i="14" s="1"/>
  <c r="K12" i="11"/>
  <c r="P19" i="4" s="1"/>
  <c r="K69" i="13"/>
  <c r="K9" i="14" s="1"/>
  <c r="K11" i="14" s="1"/>
  <c r="G22" i="16"/>
  <c r="G14" i="16"/>
  <c r="G17" i="16" s="1"/>
  <c r="G18" i="16" s="1"/>
  <c r="J24" i="14"/>
  <c r="J27" i="14" s="1"/>
  <c r="K22" i="14" s="1"/>
  <c r="J14" i="11"/>
  <c r="J17" i="11" s="1"/>
  <c r="F31" i="14"/>
  <c r="F100" i="13"/>
  <c r="F33" i="14" s="1"/>
  <c r="F94" i="13"/>
  <c r="F32" i="14" s="1"/>
  <c r="O10" i="4"/>
  <c r="O22" i="4" s="1"/>
  <c r="J81" i="13"/>
  <c r="J13" i="14" s="1"/>
  <c r="J15" i="14" s="1"/>
  <c r="J12" i="11"/>
  <c r="O19" i="4" s="1"/>
  <c r="J69" i="13"/>
  <c r="J9" i="14" s="1"/>
  <c r="J11" i="14" s="1"/>
  <c r="C21" i="16"/>
  <c r="C25" i="16" s="1"/>
  <c r="C20" i="16"/>
  <c r="I18" i="11"/>
  <c r="H50" i="13"/>
  <c r="H22" i="11"/>
  <c r="G23" i="11"/>
  <c r="G24" i="11" s="1"/>
  <c r="L12" i="4" s="1"/>
  <c r="L23" i="4" s="1"/>
  <c r="D19" i="16"/>
  <c r="H14" i="16"/>
  <c r="H17" i="16" s="1"/>
  <c r="P9" i="16" s="1"/>
  <c r="P11" i="16" s="1"/>
  <c r="H22" i="16"/>
  <c r="K14" i="11"/>
  <c r="K17" i="11" s="1"/>
  <c r="K24" i="14"/>
  <c r="I19" i="14"/>
  <c r="I18" i="14"/>
  <c r="K16" i="9"/>
  <c r="E16" i="10"/>
  <c r="E17" i="10"/>
  <c r="D16" i="10"/>
  <c r="D17" i="10" s="1"/>
  <c r="F16" i="10"/>
  <c r="I16" i="10"/>
  <c r="K23" i="10"/>
  <c r="K19" i="10"/>
  <c r="I17" i="10"/>
  <c r="H16" i="10"/>
  <c r="H17" i="10"/>
  <c r="K16" i="10"/>
  <c r="G16" i="10"/>
  <c r="G17" i="10" s="1"/>
  <c r="F17" i="10"/>
  <c r="P20" i="4" l="1"/>
  <c r="P27" i="4"/>
  <c r="O20" i="4"/>
  <c r="O27" i="4"/>
  <c r="E24" i="16"/>
  <c r="F24" i="16"/>
  <c r="J18" i="11"/>
  <c r="K17" i="14"/>
  <c r="K18" i="14" s="1"/>
  <c r="F34" i="14"/>
  <c r="G30" i="14" s="1"/>
  <c r="J17" i="14"/>
  <c r="K18" i="11"/>
  <c r="C28" i="16"/>
  <c r="K14" i="4"/>
  <c r="K16" i="4" s="1"/>
  <c r="I50" i="13"/>
  <c r="I22" i="11"/>
  <c r="K27" i="14"/>
  <c r="H23" i="11"/>
  <c r="H24" i="11" s="1"/>
  <c r="M12" i="4" s="1"/>
  <c r="M23" i="4" s="1"/>
  <c r="E19" i="16"/>
  <c r="G31" i="14"/>
  <c r="G94" i="13"/>
  <c r="G32" i="14" s="1"/>
  <c r="G100" i="13"/>
  <c r="G33" i="14" s="1"/>
  <c r="D20" i="16"/>
  <c r="D21" i="16"/>
  <c r="D25" i="16" s="1"/>
  <c r="P12" i="16"/>
  <c r="J17" i="16"/>
  <c r="H18" i="16"/>
  <c r="J22" i="11" l="1"/>
  <c r="J50" i="13"/>
  <c r="K19" i="14"/>
  <c r="J18" i="14"/>
  <c r="J19" i="14"/>
  <c r="K50" i="13"/>
  <c r="K22" i="11"/>
  <c r="I23" i="11"/>
  <c r="I24" i="11" s="1"/>
  <c r="N12" i="4" s="1"/>
  <c r="N23" i="4" s="1"/>
  <c r="F19" i="16"/>
  <c r="H31" i="14"/>
  <c r="H94" i="13"/>
  <c r="H32" i="14" s="1"/>
  <c r="H100" i="13"/>
  <c r="H33" i="14" s="1"/>
  <c r="G34" i="14"/>
  <c r="H30" i="14" s="1"/>
  <c r="L14" i="4"/>
  <c r="L16" i="4" s="1"/>
  <c r="D28" i="16"/>
  <c r="E20" i="16"/>
  <c r="E21" i="16"/>
  <c r="E25" i="16" s="1"/>
  <c r="H24" i="16" l="1"/>
  <c r="G24" i="16"/>
  <c r="F20" i="16"/>
  <c r="F21" i="16"/>
  <c r="F25" i="16" s="1"/>
  <c r="G19" i="16"/>
  <c r="J23" i="11"/>
  <c r="J24" i="11" s="1"/>
  <c r="O12" i="4" s="1"/>
  <c r="O23" i="4" s="1"/>
  <c r="K23" i="11"/>
  <c r="K24" i="11" s="1"/>
  <c r="P12" i="4" s="1"/>
  <c r="P23" i="4" s="1"/>
  <c r="H19" i="16"/>
  <c r="I31" i="14"/>
  <c r="I94" i="13"/>
  <c r="I32" i="14" s="1"/>
  <c r="I100" i="13"/>
  <c r="I33" i="14" s="1"/>
  <c r="H34" i="14"/>
  <c r="I30" i="14" s="1"/>
  <c r="E28" i="16"/>
  <c r="M14" i="4"/>
  <c r="M16" i="4" s="1"/>
  <c r="N14" i="4" l="1"/>
  <c r="N16" i="4" s="1"/>
  <c r="F28" i="16"/>
  <c r="G20" i="16"/>
  <c r="G21" i="16"/>
  <c r="G25" i="16" s="1"/>
  <c r="J100" i="13"/>
  <c r="J33" i="14" s="1"/>
  <c r="J94" i="13"/>
  <c r="J32" i="14" s="1"/>
  <c r="J31" i="14"/>
  <c r="I34" i="14"/>
  <c r="J30" i="14" s="1"/>
  <c r="K100" i="13"/>
  <c r="K33" i="14" s="1"/>
  <c r="K31" i="14"/>
  <c r="K94" i="13"/>
  <c r="K32" i="14" s="1"/>
  <c r="H20" i="16"/>
  <c r="H21" i="16"/>
  <c r="H25" i="16" s="1"/>
  <c r="J34" i="14" l="1"/>
  <c r="K30" i="14" s="1"/>
  <c r="K34" i="14" s="1"/>
  <c r="G28" i="16"/>
  <c r="O14" i="4"/>
  <c r="O16" i="4" s="1"/>
  <c r="H28" i="16"/>
  <c r="P14" i="4"/>
  <c r="P16" i="4" s="1"/>
  <c r="M9" i="16"/>
  <c r="M11" i="16" s="1"/>
  <c r="M12" i="16" s="1"/>
  <c r="P14" i="16" l="1"/>
  <c r="P15" i="16" s="1"/>
  <c r="P18" i="16" s="1"/>
  <c r="P20" i="16" s="1"/>
  <c r="M14" i="16"/>
  <c r="M15" i="16" s="1"/>
  <c r="M18" i="16" s="1"/>
  <c r="M20" i="16" l="1"/>
  <c r="S21" i="16"/>
  <c r="M25" i="16"/>
  <c r="S9" i="16" l="1"/>
  <c r="M23" i="16"/>
  <c r="M27" i="16" s="1"/>
  <c r="M28" i="16" s="1"/>
</calcChain>
</file>

<file path=xl/sharedStrings.xml><?xml version="1.0" encoding="utf-8"?>
<sst xmlns="http://schemas.openxmlformats.org/spreadsheetml/2006/main" count="614" uniqueCount="252">
  <si>
    <t>Ryan Lee</t>
  </si>
  <si>
    <t>Genuine Parts Company (NYSE: GPC)</t>
  </si>
  <si>
    <r>
      <t>Recommendation:</t>
    </r>
    <r>
      <rPr>
        <b/>
        <sz val="14"/>
        <color rgb="FF00B050"/>
        <rFont val="Calibri"/>
        <family val="2"/>
      </rPr>
      <t xml:space="preserve"> BUY</t>
    </r>
  </si>
  <si>
    <t>$ in millions</t>
  </si>
  <si>
    <t>2025E</t>
  </si>
  <si>
    <t>2026E</t>
  </si>
  <si>
    <t>2027E</t>
  </si>
  <si>
    <t>2028E</t>
  </si>
  <si>
    <t>2029E</t>
  </si>
  <si>
    <t>2030E</t>
  </si>
  <si>
    <t>Build</t>
  </si>
  <si>
    <t>Total Revenue</t>
  </si>
  <si>
    <t>% Growth</t>
  </si>
  <si>
    <t>COGS</t>
  </si>
  <si>
    <t>Gross Profit</t>
  </si>
  <si>
    <t>Gross Profit Margin</t>
  </si>
  <si>
    <t>SG&amp;A</t>
  </si>
  <si>
    <t>D&amp;A</t>
  </si>
  <si>
    <t>RX &amp; Other Costs</t>
  </si>
  <si>
    <t>EBIT</t>
  </si>
  <si>
    <t>EBIT Margin</t>
  </si>
  <si>
    <t>Tax Expense</t>
  </si>
  <si>
    <t>Effective Tax Rate</t>
  </si>
  <si>
    <t>NOPAT</t>
  </si>
  <si>
    <t>Capex</t>
  </si>
  <si>
    <t>Change in NWC</t>
  </si>
  <si>
    <t>UFCF</t>
  </si>
  <si>
    <t>Discount Period</t>
  </si>
  <si>
    <t>Discount Factor</t>
  </si>
  <si>
    <t>PV of UFCF</t>
  </si>
  <si>
    <t>CAGR</t>
  </si>
  <si>
    <t>EBITDA</t>
  </si>
  <si>
    <t>EBITDA Margin</t>
  </si>
  <si>
    <t>Forecasted Years</t>
  </si>
  <si>
    <t>Terminal Value</t>
  </si>
  <si>
    <t>Perpetuity Growth Method</t>
  </si>
  <si>
    <t>Exit Multiple Method</t>
  </si>
  <si>
    <t>2030 FCF</t>
  </si>
  <si>
    <t>2030 EBITDA</t>
  </si>
  <si>
    <t>Perpetuity Growth Rate</t>
  </si>
  <si>
    <t>Multiple</t>
  </si>
  <si>
    <t>PV of Terminal Value</t>
  </si>
  <si>
    <t>PV of Projected UFCFs</t>
  </si>
  <si>
    <t>Implied TEV</t>
  </si>
  <si>
    <t>(-) Total Debt</t>
  </si>
  <si>
    <t>(+) Cash</t>
  </si>
  <si>
    <t>Implied Equity Value</t>
  </si>
  <si>
    <t>Diluted Shares Outstanding</t>
  </si>
  <si>
    <t>Share Price</t>
  </si>
  <si>
    <t>Blended Share Price</t>
  </si>
  <si>
    <t>WACC:</t>
  </si>
  <si>
    <t>Weight</t>
  </si>
  <si>
    <t>Implied Upside</t>
  </si>
  <si>
    <t>Price Target: $181.41</t>
  </si>
  <si>
    <t>Implied Upside: 31.30%</t>
  </si>
  <si>
    <t>Provision for Bad Debt</t>
  </si>
  <si>
    <t>DSO</t>
  </si>
  <si>
    <t>PGM</t>
  </si>
  <si>
    <t>Trading Statistics</t>
  </si>
  <si>
    <t>Share price ($)</t>
  </si>
  <si>
    <t>Revenue</t>
  </si>
  <si>
    <t>Shares outstanding (M)</t>
  </si>
  <si>
    <t>Consensus</t>
  </si>
  <si>
    <t>Market cap</t>
  </si>
  <si>
    <t>Net debt</t>
  </si>
  <si>
    <t>Enterprise Value</t>
  </si>
  <si>
    <t>EPS</t>
  </si>
  <si>
    <t>Base</t>
  </si>
  <si>
    <t>Upside</t>
  </si>
  <si>
    <t>Downside</t>
  </si>
  <si>
    <t>FCF ($)</t>
  </si>
  <si>
    <t>Diluted Shares Out</t>
  </si>
  <si>
    <t>FCF/share</t>
  </si>
  <si>
    <t>Implied Price</t>
  </si>
  <si>
    <t>Upside / Downside</t>
  </si>
  <si>
    <t>Revenue growth %</t>
  </si>
  <si>
    <t>Gross Profit Margin %</t>
  </si>
  <si>
    <t>EBITDA Margin %</t>
  </si>
  <si>
    <t>EV/EBITDA</t>
  </si>
  <si>
    <t>FCF Yield %</t>
  </si>
  <si>
    <t>P/EPS</t>
  </si>
  <si>
    <t>Net debt / EBITDA</t>
  </si>
  <si>
    <t>Dashboard Summary</t>
  </si>
  <si>
    <t>$ in millions, unless otherwise stated</t>
  </si>
  <si>
    <t>Projected</t>
  </si>
  <si>
    <t>Valuation Overview (FY End: 12/31)</t>
  </si>
  <si>
    <t>INCOME STATEMENT</t>
  </si>
  <si>
    <t>Projected Years</t>
  </si>
  <si>
    <t>Cost of Goods Sold</t>
  </si>
  <si>
    <t>Selling General &amp; Administrative Expense</t>
  </si>
  <si>
    <t>Depreciation and Amortization</t>
  </si>
  <si>
    <t>Restructuring and Other Costs</t>
  </si>
  <si>
    <t>Total Operating Expenses</t>
  </si>
  <si>
    <t>Operating Income</t>
  </si>
  <si>
    <t>Interest Expense, net</t>
  </si>
  <si>
    <t>Other Income</t>
  </si>
  <si>
    <t>Total Non-Operating Expenses</t>
  </si>
  <si>
    <t>Income Before Taxes</t>
  </si>
  <si>
    <t>Income Taxes</t>
  </si>
  <si>
    <t>Net Income</t>
  </si>
  <si>
    <t>BALANCE SHEET</t>
  </si>
  <si>
    <t>Assets:</t>
  </si>
  <si>
    <t>Current Assets:</t>
  </si>
  <si>
    <t>Cash and Cash Equivalents</t>
  </si>
  <si>
    <t>Trade Accounts Receivable, net</t>
  </si>
  <si>
    <t>Merchandise Inventories, net</t>
  </si>
  <si>
    <t>Prepaid Expenses and Other Current Assets</t>
  </si>
  <si>
    <t>Total Current Assets</t>
  </si>
  <si>
    <t>Goodwill</t>
  </si>
  <si>
    <t>Other Intangible Assets, net</t>
  </si>
  <si>
    <t>Property, Plant, and Equipment, net</t>
  </si>
  <si>
    <t>Operating Lease Assets</t>
  </si>
  <si>
    <t>Other Assets</t>
  </si>
  <si>
    <t>Total Assets</t>
  </si>
  <si>
    <t>Liabilities and Equity:</t>
  </si>
  <si>
    <t>Current Liabilities:</t>
  </si>
  <si>
    <t>Trade Accounts Payable</t>
  </si>
  <si>
    <t>Current Portion of Debt</t>
  </si>
  <si>
    <t>Other Current Liabilities</t>
  </si>
  <si>
    <t>Dividends Payable</t>
  </si>
  <si>
    <t>Total Current Liabilities</t>
  </si>
  <si>
    <t>Long-Term Debt</t>
  </si>
  <si>
    <t>Operating Lease Liabilities</t>
  </si>
  <si>
    <t>Pension and Other Post-Retirement Benefit Liabilities</t>
  </si>
  <si>
    <t>Deferred Tax Liabilities</t>
  </si>
  <si>
    <t>Other Long-Term Liabilities</t>
  </si>
  <si>
    <t>Equity:</t>
  </si>
  <si>
    <t>Common Stock</t>
  </si>
  <si>
    <t>Additional Paid-In Capital</t>
  </si>
  <si>
    <t>Accumulated Other Comprehensive Loss</t>
  </si>
  <si>
    <t>Retained Earnings</t>
  </si>
  <si>
    <t>Total Parent Equity</t>
  </si>
  <si>
    <t>Noncontrolling Interests in Subsidiaries</t>
  </si>
  <si>
    <t>Total Equity</t>
  </si>
  <si>
    <t>Total Liabilities and Equity</t>
  </si>
  <si>
    <t>Balance Check</t>
  </si>
  <si>
    <t>STATEMENT OF CASH FLOWS</t>
  </si>
  <si>
    <t>Operating Activities:</t>
  </si>
  <si>
    <t>Adjustments:</t>
  </si>
  <si>
    <t>Deferred Income Taxes</t>
  </si>
  <si>
    <t>Share-Based Compensation</t>
  </si>
  <si>
    <t>Gains on Sales of Real Estate</t>
  </si>
  <si>
    <t>Other Operating Activities</t>
  </si>
  <si>
    <t>Changes in Operating Assets and Liabilities:</t>
  </si>
  <si>
    <t>Operating Lease Right-of-Use Asset</t>
  </si>
  <si>
    <t>Other Current and Noncurrent Assets</t>
  </si>
  <si>
    <t>Operating Lease Current and Noncurrent Liabilities</t>
  </si>
  <si>
    <t>Other Current and Noncurrent Liabilities</t>
  </si>
  <si>
    <t>Net Cash Provided by Operating Activities</t>
  </si>
  <si>
    <t>Investing Activities:</t>
  </si>
  <si>
    <t>Purchases of Property, Plant, and Equipment</t>
  </si>
  <si>
    <t>Proceeds from Sale of Property, Plant, and Equipment</t>
  </si>
  <si>
    <t>Acquisitions of Businesses</t>
  </si>
  <si>
    <t>Proceeds from Divestitures of Businesses</t>
  </si>
  <si>
    <t>Proceeds from Sale of Investment</t>
  </si>
  <si>
    <t>Proceeds from Settlement of New Investment Hedge</t>
  </si>
  <si>
    <t>Other Investing Activities</t>
  </si>
  <si>
    <t>Net Cash Used in Investing Activities</t>
  </si>
  <si>
    <t>Financing Activities:</t>
  </si>
  <si>
    <t>Proceeds from Debt</t>
  </si>
  <si>
    <t>Payments on Debt</t>
  </si>
  <si>
    <t>Shares Issued from Employee Incentive Plans</t>
  </si>
  <si>
    <t>Dividends Paid</t>
  </si>
  <si>
    <t>Purchase of Stock</t>
  </si>
  <si>
    <t>Other Financing Activities</t>
  </si>
  <si>
    <t>Net Cash (Used in) Provided by Financing Activities</t>
  </si>
  <si>
    <t>Net (Decrease) Increase in Cash and Cash Equivalents</t>
  </si>
  <si>
    <t>Cash and Cash Equivalents at Beginning of Year</t>
  </si>
  <si>
    <t>Cash and Cash Equivalents at End of Year</t>
  </si>
  <si>
    <t>Exchange Rate Changes on Cash and Cash Equivalents</t>
  </si>
  <si>
    <t>Automotive</t>
  </si>
  <si>
    <t>Industrials</t>
  </si>
  <si>
    <t>Active Case:</t>
  </si>
  <si>
    <t># of Locations Automotive</t>
  </si>
  <si>
    <t>Total</t>
  </si>
  <si>
    <t>Company-Owned Stores</t>
  </si>
  <si>
    <t>Independently-Owned Stores</t>
  </si>
  <si>
    <t># of Locations Industrials</t>
  </si>
  <si>
    <t>Branches</t>
  </si>
  <si>
    <t>Service Centers</t>
  </si>
  <si>
    <t>Income Statement</t>
  </si>
  <si>
    <t>% of Revenue</t>
  </si>
  <si>
    <t>Selling, General, and Administrative Expense</t>
  </si>
  <si>
    <t>Depreciation &amp; Amortization</t>
  </si>
  <si>
    <t>% of Capex</t>
  </si>
  <si>
    <t>% of EBIT</t>
  </si>
  <si>
    <t>Capex &amp; NWC</t>
  </si>
  <si>
    <t>Capital Expenditures</t>
  </si>
  <si>
    <t>Trade Accounts Receivable</t>
  </si>
  <si>
    <t>Merchandise Inventory, net</t>
  </si>
  <si>
    <t>% of COGS</t>
  </si>
  <si>
    <t>Trade Account Payable</t>
  </si>
  <si>
    <t>Retained Earnings Items</t>
  </si>
  <si>
    <t>Dividends</t>
  </si>
  <si>
    <t>% of Net Income</t>
  </si>
  <si>
    <t>Net Working Capital Calculations</t>
  </si>
  <si>
    <t>Non-Cash Current Assets</t>
  </si>
  <si>
    <t>Non-Debt Current Liabilities</t>
  </si>
  <si>
    <t>Net Working Capital</t>
  </si>
  <si>
    <t>Change in Net Working Capital</t>
  </si>
  <si>
    <t>Weighted Average Cost of Capital</t>
  </si>
  <si>
    <t>Market Risk Premium</t>
  </si>
  <si>
    <t>Beta</t>
  </si>
  <si>
    <t>Risk Free Rate</t>
  </si>
  <si>
    <t>Cost of Equity</t>
  </si>
  <si>
    <t>Debt Rate</t>
  </si>
  <si>
    <t>Tax Rate</t>
  </si>
  <si>
    <t>Cost of Debt</t>
  </si>
  <si>
    <t>Total Equity ($M)</t>
  </si>
  <si>
    <t>Total Debt ($M)</t>
  </si>
  <si>
    <t>Equity / Total Capitalizaiton</t>
  </si>
  <si>
    <t>Debt / Total Capitalization</t>
  </si>
  <si>
    <t>WACC</t>
  </si>
  <si>
    <t>Property, Plant, &amp; Equipment Schedule</t>
  </si>
  <si>
    <t>Beginning PP&amp;E</t>
  </si>
  <si>
    <t>Depreciation as a % of Depreciation and Amortization</t>
  </si>
  <si>
    <t>Reconciliation</t>
  </si>
  <si>
    <t>Ending PP&amp;E</t>
  </si>
  <si>
    <t>Retained Earnings Schedule</t>
  </si>
  <si>
    <t>Beginning Retained Earnings</t>
  </si>
  <si>
    <t>Ending Retained Earnings</t>
  </si>
  <si>
    <t>TEV/Forward EBITDA Multiple</t>
  </si>
  <si>
    <t>GPC Entreprise Value</t>
  </si>
  <si>
    <t>EBITDA 2025E</t>
  </si>
  <si>
    <t>Operating Build:</t>
  </si>
  <si>
    <t>Provision for Doubtful Accounts</t>
  </si>
  <si>
    <t>Company</t>
  </si>
  <si>
    <t>Advance AutoParts, Inc. (NYSE:AAP)</t>
  </si>
  <si>
    <t>Autozone, Inc. (NYSE:AZO)</t>
  </si>
  <si>
    <t>LKQ Corporation (NasdaqGS:LKQ)</t>
  </si>
  <si>
    <t>O'Reilly Automotive, Inc. (NasdaqGS:ORLY)</t>
  </si>
  <si>
    <t>Genuine Parts Company (NYSE:GPC)</t>
  </si>
  <si>
    <t>Low</t>
  </si>
  <si>
    <t>25th Percentile</t>
  </si>
  <si>
    <t>Mean</t>
  </si>
  <si>
    <t>Median</t>
  </si>
  <si>
    <t>75th Percentile</t>
  </si>
  <si>
    <t>High</t>
  </si>
  <si>
    <t>Selected Multiple: EV/EBITDA (NTM)</t>
  </si>
  <si>
    <t>Market Cap</t>
  </si>
  <si>
    <t>Gross Margin (LTM)</t>
  </si>
  <si>
    <t>EBITDA Margin (LTM)</t>
  </si>
  <si>
    <t>EV/EBITDA (LTM)</t>
  </si>
  <si>
    <t>EV/EBITDA (NTM)</t>
  </si>
  <si>
    <t>EV/Revenue (LTM)</t>
  </si>
  <si>
    <t>EV/Revenue (NTM)</t>
  </si>
  <si>
    <t>EPS (LTM)</t>
  </si>
  <si>
    <t>Forward P/E</t>
  </si>
  <si>
    <t>Case (adjustable)</t>
  </si>
  <si>
    <t>2 (Upside)</t>
  </si>
  <si>
    <t>1 (Base)</t>
  </si>
  <si>
    <t>3 (Downside)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</si>
</sst>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0,\ "/>
    <numFmt numFmtId="166" formatCode="#,##0.00,;\(#,##0.00,\)\ "/>
    <numFmt numFmtId="167" formatCode="0\x"/>
    <numFmt numFmtId="168" formatCode="_([$$-409]* #,##0.00_);_([$$-409]* \(#,##0.00\);_([$$-409]* &quot;-&quot;??_);_(@_)"/>
    <numFmt numFmtId="169" formatCode="_(* #,##0.0_);_(* \(#,##0.0\);_(* &quot;-&quot;??_);_(@_)"/>
    <numFmt numFmtId="170" formatCode="_([$$-409]* #,##0.0_);_([$$-409]* \(#,##0.0\);_([$$-409]* &quot;-&quot;??_);_(@_)"/>
    <numFmt numFmtId="172" formatCode="0.0%;\(0.00%\);\ \-\ \ \ "/>
    <numFmt numFmtId="173" formatCode="0.0\x;\(0.0\x\);\-\ \ \ "/>
    <numFmt numFmtId="174" formatCode="_(* #,##0_);_(* \(#,##0\);_(* &quot;-&quot;??_);_(@_)"/>
    <numFmt numFmtId="175" formatCode="yyyy&quot;E&quot;"/>
    <numFmt numFmtId="176" formatCode="&quot;$&quot;#,##0.00"/>
    <numFmt numFmtId="177" formatCode="_(* #,##0.000_);_(* \(#,##0.000\);_(* &quot;-&quot;??_);_(@_)"/>
    <numFmt numFmtId="178" formatCode="0.0\x"/>
    <numFmt numFmtId="183" formatCode="0.00\x;\(0.00\x\);\-\ \ \ "/>
    <numFmt numFmtId="187" formatCode="0.0\x\ "/>
  </numFmts>
  <fonts count="2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 Bold"/>
    </font>
    <font>
      <b/>
      <sz val="14"/>
      <color theme="1"/>
      <name val="Calibri"/>
      <family val="2"/>
    </font>
    <font>
      <b/>
      <sz val="14"/>
      <color rgb="FF00B050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6"/>
      <color theme="1"/>
      <name val="Calibri"/>
      <family val="2"/>
    </font>
    <font>
      <sz val="12"/>
      <name val="Calibri"/>
      <family val="2"/>
    </font>
    <font>
      <b/>
      <sz val="12"/>
      <color theme="1"/>
      <name val="Aptos Narrow"/>
      <scheme val="minor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</font>
    <font>
      <sz val="12"/>
      <color rgb="FFFF0000"/>
      <name val="Calibri"/>
      <family val="2"/>
    </font>
    <font>
      <sz val="12"/>
      <color theme="0"/>
      <name val="Aptos Narrow"/>
      <family val="2"/>
      <scheme val="minor"/>
    </font>
    <font>
      <sz val="12"/>
      <color theme="9" tint="-0.499984740745262"/>
      <name val="Calibri"/>
      <family val="2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358A"/>
        <bgColor indexed="64"/>
      </patternFill>
    </fill>
    <fill>
      <patternFill patternType="solid">
        <fgColor rgb="FF798AD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9CCAD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324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43" fontId="0" fillId="0" borderId="0" xfId="2" applyFont="1"/>
    <xf numFmtId="0" fontId="6" fillId="0" borderId="0" xfId="0" applyFont="1"/>
    <xf numFmtId="0" fontId="6" fillId="0" borderId="6" xfId="0" applyFont="1" applyBorder="1"/>
    <xf numFmtId="0" fontId="8" fillId="0" borderId="0" xfId="0" applyFont="1"/>
    <xf numFmtId="0" fontId="6" fillId="2" borderId="8" xfId="0" applyFont="1" applyFill="1" applyBorder="1"/>
    <xf numFmtId="0" fontId="6" fillId="2" borderId="9" xfId="0" applyFont="1" applyFill="1" applyBorder="1"/>
    <xf numFmtId="0" fontId="9" fillId="2" borderId="7" xfId="0" applyFont="1" applyFill="1" applyBorder="1"/>
    <xf numFmtId="0" fontId="7" fillId="0" borderId="10" xfId="0" applyFont="1" applyBorder="1"/>
    <xf numFmtId="0" fontId="6" fillId="0" borderId="11" xfId="0" applyFont="1" applyBorder="1"/>
    <xf numFmtId="0" fontId="6" fillId="0" borderId="13" xfId="0" applyFont="1" applyBorder="1"/>
    <xf numFmtId="166" fontId="6" fillId="0" borderId="0" xfId="0" applyNumberFormat="1" applyFont="1"/>
    <xf numFmtId="166" fontId="6" fillId="0" borderId="4" xfId="0" applyNumberFormat="1" applyFont="1" applyBorder="1"/>
    <xf numFmtId="165" fontId="6" fillId="0" borderId="0" xfId="2" applyNumberFormat="1" applyFont="1" applyBorder="1"/>
    <xf numFmtId="2" fontId="6" fillId="0" borderId="0" xfId="0" applyNumberFormat="1" applyFont="1"/>
    <xf numFmtId="2" fontId="6" fillId="0" borderId="4" xfId="0" applyNumberFormat="1" applyFont="1" applyBorder="1"/>
    <xf numFmtId="0" fontId="6" fillId="0" borderId="14" xfId="0" applyFont="1" applyBorder="1"/>
    <xf numFmtId="0" fontId="6" fillId="0" borderId="15" xfId="0" applyFont="1" applyBorder="1"/>
    <xf numFmtId="2" fontId="6" fillId="0" borderId="15" xfId="0" applyNumberFormat="1" applyFont="1" applyBorder="1"/>
    <xf numFmtId="2" fontId="6" fillId="0" borderId="16" xfId="0" applyNumberFormat="1" applyFont="1" applyBorder="1"/>
    <xf numFmtId="0" fontId="6" fillId="0" borderId="17" xfId="0" applyFont="1" applyBorder="1"/>
    <xf numFmtId="166" fontId="6" fillId="0" borderId="6" xfId="0" applyNumberFormat="1" applyFont="1" applyBorder="1"/>
    <xf numFmtId="166" fontId="6" fillId="0" borderId="18" xfId="0" applyNumberFormat="1" applyFont="1" applyBorder="1"/>
    <xf numFmtId="0" fontId="8" fillId="0" borderId="13" xfId="0" applyFont="1" applyBorder="1" applyAlignment="1">
      <alignment horizontal="left" indent="1"/>
    </xf>
    <xf numFmtId="0" fontId="8" fillId="0" borderId="17" xfId="0" applyFont="1" applyBorder="1" applyAlignment="1">
      <alignment horizontal="left" indent="1"/>
    </xf>
    <xf numFmtId="0" fontId="8" fillId="0" borderId="13" xfId="0" applyFont="1" applyBorder="1"/>
    <xf numFmtId="164" fontId="8" fillId="0" borderId="0" xfId="3" applyNumberFormat="1" applyFont="1" applyBorder="1"/>
    <xf numFmtId="164" fontId="8" fillId="0" borderId="4" xfId="3" applyNumberFormat="1" applyFont="1" applyBorder="1"/>
    <xf numFmtId="9" fontId="8" fillId="0" borderId="6" xfId="3" applyFont="1" applyBorder="1"/>
    <xf numFmtId="9" fontId="8" fillId="0" borderId="18" xfId="3" applyFont="1" applyBorder="1"/>
    <xf numFmtId="165" fontId="7" fillId="0" borderId="11" xfId="2" applyNumberFormat="1" applyFont="1" applyBorder="1"/>
    <xf numFmtId="165" fontId="7" fillId="0" borderId="12" xfId="2" applyNumberFormat="1" applyFont="1" applyBorder="1"/>
    <xf numFmtId="0" fontId="7" fillId="0" borderId="13" xfId="0" applyFont="1" applyBorder="1"/>
    <xf numFmtId="0" fontId="7" fillId="0" borderId="0" xfId="0" applyFont="1"/>
    <xf numFmtId="165" fontId="7" fillId="0" borderId="0" xfId="2" applyNumberFormat="1" applyFont="1" applyBorder="1"/>
    <xf numFmtId="165" fontId="7" fillId="0" borderId="4" xfId="2" applyNumberFormat="1" applyFont="1" applyBorder="1"/>
    <xf numFmtId="0" fontId="9" fillId="2" borderId="8" xfId="0" applyFont="1" applyFill="1" applyBorder="1"/>
    <xf numFmtId="165" fontId="9" fillId="2" borderId="8" xfId="2" applyNumberFormat="1" applyFont="1" applyFill="1" applyBorder="1"/>
    <xf numFmtId="165" fontId="9" fillId="2" borderId="9" xfId="2" applyNumberFormat="1" applyFont="1" applyFill="1" applyBorder="1"/>
    <xf numFmtId="9" fontId="8" fillId="0" borderId="0" xfId="3" applyFont="1" applyBorder="1"/>
    <xf numFmtId="165" fontId="9" fillId="0" borderId="0" xfId="2" applyNumberFormat="1" applyFont="1" applyFill="1" applyBorder="1"/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0" applyNumberFormat="1" applyFont="1"/>
    <xf numFmtId="166" fontId="7" fillId="0" borderId="4" xfId="0" applyNumberFormat="1" applyFont="1" applyBorder="1"/>
    <xf numFmtId="165" fontId="6" fillId="0" borderId="4" xfId="0" applyNumberFormat="1" applyFont="1" applyBorder="1" applyAlignment="1">
      <alignment horizontal="right"/>
    </xf>
    <xf numFmtId="167" fontId="6" fillId="0" borderId="4" xfId="0" applyNumberFormat="1" applyFont="1" applyBorder="1" applyAlignment="1">
      <alignment horizontal="right"/>
    </xf>
    <xf numFmtId="0" fontId="6" fillId="0" borderId="20" xfId="0" applyFont="1" applyBorder="1"/>
    <xf numFmtId="165" fontId="6" fillId="0" borderId="21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22" xfId="0" applyFont="1" applyBorder="1"/>
    <xf numFmtId="165" fontId="6" fillId="0" borderId="5" xfId="0" applyNumberFormat="1" applyFont="1" applyBorder="1" applyAlignment="1">
      <alignment horizontal="right"/>
    </xf>
    <xf numFmtId="7" fontId="6" fillId="0" borderId="4" xfId="0" applyNumberFormat="1" applyFont="1" applyBorder="1" applyAlignment="1">
      <alignment horizontal="right"/>
    </xf>
    <xf numFmtId="0" fontId="12" fillId="0" borderId="0" xfId="0" applyFont="1"/>
    <xf numFmtId="9" fontId="8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7" fontId="9" fillId="2" borderId="9" xfId="0" applyNumberFormat="1" applyFont="1" applyFill="1" applyBorder="1" applyAlignment="1">
      <alignment horizontal="right"/>
    </xf>
    <xf numFmtId="0" fontId="9" fillId="2" borderId="23" xfId="0" applyFont="1" applyFill="1" applyBorder="1"/>
    <xf numFmtId="7" fontId="9" fillId="2" borderId="24" xfId="0" applyNumberFormat="1" applyFont="1" applyFill="1" applyBorder="1" applyAlignment="1">
      <alignment horizontal="right"/>
    </xf>
    <xf numFmtId="164" fontId="9" fillId="2" borderId="9" xfId="0" applyNumberFormat="1" applyFont="1" applyFill="1" applyBorder="1"/>
    <xf numFmtId="0" fontId="9" fillId="2" borderId="7" xfId="0" applyFont="1" applyFill="1" applyBorder="1" applyAlignment="1">
      <alignment vertical="center"/>
    </xf>
    <xf numFmtId="7" fontId="9" fillId="2" borderId="9" xfId="0" applyNumberFormat="1" applyFont="1" applyFill="1" applyBorder="1" applyAlignment="1">
      <alignment horizontal="right" vertical="center"/>
    </xf>
    <xf numFmtId="0" fontId="9" fillId="2" borderId="14" xfId="0" applyFont="1" applyFill="1" applyBorder="1" applyAlignment="1">
      <alignment vertical="center"/>
    </xf>
    <xf numFmtId="10" fontId="9" fillId="2" borderId="16" xfId="3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19" xfId="3" applyNumberFormat="1" applyFont="1" applyBorder="1" applyAlignment="1">
      <alignment horizontal="center"/>
    </xf>
    <xf numFmtId="164" fontId="7" fillId="0" borderId="0" xfId="3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15" xfId="0" applyBorder="1"/>
    <xf numFmtId="0" fontId="15" fillId="0" borderId="6" xfId="0" applyFont="1" applyBorder="1"/>
    <xf numFmtId="0" fontId="17" fillId="0" borderId="0" xfId="0" applyFont="1" applyAlignment="1">
      <alignment horizontal="left" indent="1"/>
    </xf>
    <xf numFmtId="0" fontId="15" fillId="0" borderId="0" xfId="0" applyFont="1"/>
    <xf numFmtId="168" fontId="15" fillId="0" borderId="0" xfId="0" applyNumberFormat="1" applyFont="1"/>
    <xf numFmtId="9" fontId="17" fillId="0" borderId="0" xfId="3" applyFont="1"/>
    <xf numFmtId="172" fontId="16" fillId="0" borderId="0" xfId="3" applyNumberFormat="1" applyFont="1"/>
    <xf numFmtId="164" fontId="16" fillId="0" borderId="0" xfId="3" applyNumberFormat="1" applyFont="1"/>
    <xf numFmtId="164" fontId="6" fillId="0" borderId="0" xfId="3" applyNumberFormat="1" applyFont="1"/>
    <xf numFmtId="43" fontId="6" fillId="0" borderId="0" xfId="0" applyNumberFormat="1" applyFont="1"/>
    <xf numFmtId="0" fontId="3" fillId="0" borderId="15" xfId="0" applyFont="1" applyBorder="1"/>
    <xf numFmtId="0" fontId="14" fillId="0" borderId="15" xfId="0" applyFont="1" applyBorder="1"/>
    <xf numFmtId="43" fontId="18" fillId="0" borderId="0" xfId="2" applyFont="1"/>
    <xf numFmtId="0" fontId="19" fillId="2" borderId="7" xfId="0" applyFont="1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/>
    <xf numFmtId="0" fontId="0" fillId="0" borderId="14" xfId="0" applyBorder="1"/>
    <xf numFmtId="0" fontId="0" fillId="0" borderId="16" xfId="0" applyBorder="1"/>
    <xf numFmtId="0" fontId="6" fillId="0" borderId="12" xfId="0" applyFont="1" applyBorder="1"/>
    <xf numFmtId="0" fontId="6" fillId="0" borderId="4" xfId="0" applyFont="1" applyBorder="1"/>
    <xf numFmtId="43" fontId="6" fillId="0" borderId="11" xfId="2" applyFont="1" applyBorder="1"/>
    <xf numFmtId="43" fontId="6" fillId="0" borderId="0" xfId="2" applyFont="1" applyBorder="1"/>
    <xf numFmtId="43" fontId="6" fillId="0" borderId="6" xfId="2" applyFont="1" applyBorder="1"/>
    <xf numFmtId="43" fontId="6" fillId="0" borderId="11" xfId="0" applyNumberFormat="1" applyFont="1" applyBorder="1"/>
    <xf numFmtId="43" fontId="6" fillId="0" borderId="6" xfId="0" applyNumberFormat="1" applyFont="1" applyBorder="1"/>
    <xf numFmtId="0" fontId="7" fillId="0" borderId="17" xfId="0" applyFont="1" applyBorder="1"/>
    <xf numFmtId="0" fontId="7" fillId="0" borderId="28" xfId="0" applyFont="1" applyBorder="1"/>
    <xf numFmtId="0" fontId="0" fillId="0" borderId="13" xfId="0" applyBorder="1"/>
    <xf numFmtId="0" fontId="6" fillId="0" borderId="0" xfId="0" applyFont="1" applyAlignment="1">
      <alignment horizontal="center" vertical="center"/>
    </xf>
    <xf numFmtId="43" fontId="8" fillId="0" borderId="0" xfId="2" applyFont="1" applyBorder="1"/>
    <xf numFmtId="43" fontId="6" fillId="0" borderId="4" xfId="0" applyNumberFormat="1" applyFont="1" applyBorder="1"/>
    <xf numFmtId="43" fontId="6" fillId="0" borderId="18" xfId="0" applyNumberFormat="1" applyFont="1" applyBorder="1"/>
    <xf numFmtId="0" fontId="6" fillId="0" borderId="16" xfId="0" applyFont="1" applyBorder="1"/>
    <xf numFmtId="0" fontId="7" fillId="0" borderId="29" xfId="0" applyFont="1" applyBorder="1"/>
    <xf numFmtId="43" fontId="6" fillId="0" borderId="6" xfId="0" applyNumberFormat="1" applyFont="1" applyBorder="1" applyAlignment="1">
      <alignment horizontal="right"/>
    </xf>
    <xf numFmtId="43" fontId="6" fillId="0" borderId="0" xfId="0" applyNumberFormat="1" applyFont="1" applyAlignment="1">
      <alignment horizontal="right"/>
    </xf>
    <xf numFmtId="43" fontId="6" fillId="0" borderId="4" xfId="0" applyNumberFormat="1" applyFont="1" applyBorder="1" applyAlignment="1">
      <alignment horizontal="right"/>
    </xf>
    <xf numFmtId="43" fontId="6" fillId="0" borderId="18" xfId="0" applyNumberFormat="1" applyFont="1" applyBorder="1" applyAlignment="1">
      <alignment horizontal="right"/>
    </xf>
    <xf numFmtId="0" fontId="9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/>
    <xf numFmtId="0" fontId="8" fillId="0" borderId="7" xfId="0" applyFont="1" applyBorder="1"/>
    <xf numFmtId="0" fontId="7" fillId="4" borderId="7" xfId="0" applyFont="1" applyFill="1" applyBorder="1" applyAlignment="1">
      <alignment vertical="center"/>
    </xf>
    <xf numFmtId="0" fontId="6" fillId="0" borderId="8" xfId="0" applyFont="1" applyBorder="1"/>
    <xf numFmtId="43" fontId="6" fillId="4" borderId="8" xfId="2" applyFont="1" applyFill="1" applyBorder="1"/>
    <xf numFmtId="0" fontId="8" fillId="0" borderId="10" xfId="0" applyFont="1" applyBorder="1"/>
    <xf numFmtId="164" fontId="8" fillId="0" borderId="8" xfId="3" applyNumberFormat="1" applyFont="1" applyBorder="1"/>
    <xf numFmtId="43" fontId="9" fillId="2" borderId="8" xfId="0" applyNumberFormat="1" applyFont="1" applyFill="1" applyBorder="1"/>
    <xf numFmtId="43" fontId="6" fillId="4" borderId="8" xfId="0" applyNumberFormat="1" applyFont="1" applyFill="1" applyBorder="1"/>
    <xf numFmtId="43" fontId="6" fillId="4" borderId="9" xfId="2" applyFont="1" applyFill="1" applyBorder="1"/>
    <xf numFmtId="43" fontId="9" fillId="2" borderId="9" xfId="2" applyFont="1" applyFill="1" applyBorder="1"/>
    <xf numFmtId="164" fontId="8" fillId="0" borderId="9" xfId="3" applyNumberFormat="1" applyFont="1" applyBorder="1"/>
    <xf numFmtId="164" fontId="8" fillId="0" borderId="11" xfId="3" applyNumberFormat="1" applyFont="1" applyBorder="1"/>
    <xf numFmtId="164" fontId="8" fillId="0" borderId="12" xfId="3" applyNumberFormat="1" applyFont="1" applyBorder="1"/>
    <xf numFmtId="164" fontId="20" fillId="0" borderId="0" xfId="3" applyNumberFormat="1" applyFont="1" applyBorder="1"/>
    <xf numFmtId="164" fontId="20" fillId="0" borderId="4" xfId="3" applyNumberFormat="1" applyFont="1" applyBorder="1"/>
    <xf numFmtId="164" fontId="20" fillId="0" borderId="15" xfId="3" applyNumberFormat="1" applyFont="1" applyBorder="1"/>
    <xf numFmtId="164" fontId="20" fillId="0" borderId="16" xfId="3" applyNumberFormat="1" applyFont="1" applyBorder="1"/>
    <xf numFmtId="164" fontId="20" fillId="0" borderId="0" xfId="0" applyNumberFormat="1" applyFont="1"/>
    <xf numFmtId="164" fontId="20" fillId="0" borderId="4" xfId="0" applyNumberFormat="1" applyFont="1" applyBorder="1"/>
    <xf numFmtId="164" fontId="20" fillId="0" borderId="15" xfId="0" applyNumberFormat="1" applyFont="1" applyBorder="1"/>
    <xf numFmtId="164" fontId="20" fillId="0" borderId="16" xfId="0" applyNumberFormat="1" applyFont="1" applyBorder="1"/>
    <xf numFmtId="0" fontId="6" fillId="4" borderId="8" xfId="2" applyNumberFormat="1" applyFont="1" applyFill="1" applyBorder="1"/>
    <xf numFmtId="174" fontId="6" fillId="4" borderId="8" xfId="2" applyNumberFormat="1" applyFont="1" applyFill="1" applyBorder="1"/>
    <xf numFmtId="174" fontId="6" fillId="4" borderId="8" xfId="0" applyNumberFormat="1" applyFont="1" applyFill="1" applyBorder="1"/>
    <xf numFmtId="174" fontId="6" fillId="4" borderId="9" xfId="2" applyNumberFormat="1" applyFont="1" applyFill="1" applyBorder="1"/>
    <xf numFmtId="43" fontId="6" fillId="0" borderId="12" xfId="2" applyFont="1" applyBorder="1"/>
    <xf numFmtId="0" fontId="10" fillId="0" borderId="0" xfId="0" applyFont="1"/>
    <xf numFmtId="164" fontId="6" fillId="0" borderId="11" xfId="3" applyNumberFormat="1" applyFont="1" applyBorder="1"/>
    <xf numFmtId="164" fontId="6" fillId="0" borderId="12" xfId="3" applyNumberFormat="1" applyFont="1" applyBorder="1"/>
    <xf numFmtId="0" fontId="6" fillId="4" borderId="9" xfId="2" applyNumberFormat="1" applyFont="1" applyFill="1" applyBorder="1"/>
    <xf numFmtId="2" fontId="6" fillId="4" borderId="8" xfId="2" applyNumberFormat="1" applyFont="1" applyFill="1" applyBorder="1"/>
    <xf numFmtId="2" fontId="6" fillId="4" borderId="9" xfId="2" applyNumberFormat="1" applyFont="1" applyFill="1" applyBorder="1"/>
    <xf numFmtId="43" fontId="6" fillId="0" borderId="18" xfId="2" applyFont="1" applyBorder="1"/>
    <xf numFmtId="43" fontId="6" fillId="0" borderId="0" xfId="2" applyFont="1"/>
    <xf numFmtId="43" fontId="6" fillId="0" borderId="4" xfId="2" applyFont="1" applyBorder="1"/>
    <xf numFmtId="0" fontId="6" fillId="0" borderId="10" xfId="0" applyFont="1" applyBorder="1"/>
    <xf numFmtId="43" fontId="6" fillId="0" borderId="12" xfId="0" applyNumberFormat="1" applyFont="1" applyBorder="1"/>
    <xf numFmtId="164" fontId="6" fillId="0" borderId="0" xfId="3" applyNumberFormat="1" applyFont="1" applyBorder="1"/>
    <xf numFmtId="164" fontId="6" fillId="0" borderId="4" xfId="3" applyNumberFormat="1" applyFont="1" applyBorder="1"/>
    <xf numFmtId="0" fontId="7" fillId="0" borderId="14" xfId="0" applyFont="1" applyBorder="1"/>
    <xf numFmtId="43" fontId="9" fillId="2" borderId="9" xfId="0" applyNumberFormat="1" applyFont="1" applyFill="1" applyBorder="1"/>
    <xf numFmtId="9" fontId="6" fillId="0" borderId="4" xfId="0" applyNumberFormat="1" applyFont="1" applyBorder="1"/>
    <xf numFmtId="3" fontId="6" fillId="0" borderId="4" xfId="0" applyNumberFormat="1" applyFont="1" applyBorder="1"/>
    <xf numFmtId="164" fontId="6" fillId="0" borderId="16" xfId="0" applyNumberFormat="1" applyFont="1" applyBorder="1"/>
    <xf numFmtId="174" fontId="6" fillId="0" borderId="4" xfId="2" applyNumberFormat="1" applyFont="1" applyBorder="1"/>
    <xf numFmtId="164" fontId="6" fillId="0" borderId="12" xfId="0" applyNumberFormat="1" applyFont="1" applyBorder="1"/>
    <xf numFmtId="164" fontId="6" fillId="0" borderId="4" xfId="0" applyNumberFormat="1" applyFont="1" applyBorder="1"/>
    <xf numFmtId="14" fontId="15" fillId="0" borderId="6" xfId="0" applyNumberFormat="1" applyFont="1" applyBorder="1"/>
    <xf numFmtId="0" fontId="9" fillId="2" borderId="10" xfId="0" applyFont="1" applyFill="1" applyBorder="1" applyAlignment="1">
      <alignment vertical="center"/>
    </xf>
    <xf numFmtId="43" fontId="9" fillId="2" borderId="11" xfId="0" applyNumberFormat="1" applyFont="1" applyFill="1" applyBorder="1"/>
    <xf numFmtId="43" fontId="9" fillId="2" borderId="12" xfId="2" applyFont="1" applyFill="1" applyBorder="1"/>
    <xf numFmtId="9" fontId="6" fillId="0" borderId="0" xfId="0" applyNumberFormat="1" applyFont="1"/>
    <xf numFmtId="43" fontId="6" fillId="0" borderId="15" xfId="0" applyNumberFormat="1" applyFont="1" applyBorder="1"/>
    <xf numFmtId="43" fontId="6" fillId="0" borderId="16" xfId="0" applyNumberFormat="1" applyFont="1" applyBorder="1"/>
    <xf numFmtId="0" fontId="21" fillId="2" borderId="9" xfId="0" applyFont="1" applyFill="1" applyBorder="1"/>
    <xf numFmtId="9" fontId="6" fillId="0" borderId="6" xfId="3" applyFont="1" applyBorder="1"/>
    <xf numFmtId="164" fontId="6" fillId="0" borderId="19" xfId="3" applyNumberFormat="1" applyFont="1" applyBorder="1"/>
    <xf numFmtId="175" fontId="7" fillId="0" borderId="6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167" fontId="6" fillId="0" borderId="0" xfId="0" applyNumberFormat="1" applyFont="1"/>
    <xf numFmtId="4" fontId="9" fillId="2" borderId="8" xfId="0" applyNumberFormat="1" applyFont="1" applyFill="1" applyBorder="1" applyAlignment="1">
      <alignment horizontal="center"/>
    </xf>
    <xf numFmtId="9" fontId="9" fillId="2" borderId="8" xfId="3" applyFont="1" applyFill="1" applyBorder="1" applyAlignment="1">
      <alignment horizontal="center"/>
    </xf>
    <xf numFmtId="167" fontId="9" fillId="2" borderId="8" xfId="0" applyNumberFormat="1" applyFont="1" applyFill="1" applyBorder="1" applyAlignment="1">
      <alignment horizontal="center"/>
    </xf>
    <xf numFmtId="8" fontId="9" fillId="2" borderId="8" xfId="0" applyNumberFormat="1" applyFont="1" applyFill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9" fontId="6" fillId="0" borderId="11" xfId="3" applyFont="1" applyBorder="1" applyAlignment="1">
      <alignment horizontal="center"/>
    </xf>
    <xf numFmtId="167" fontId="6" fillId="0" borderId="11" xfId="0" applyNumberFormat="1" applyFont="1" applyBorder="1" applyAlignment="1">
      <alignment horizontal="center"/>
    </xf>
    <xf numFmtId="7" fontId="6" fillId="0" borderId="11" xfId="4" applyNumberFormat="1" applyFont="1" applyBorder="1" applyAlignment="1">
      <alignment horizontal="center"/>
    </xf>
    <xf numFmtId="167" fontId="6" fillId="0" borderId="12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9" fontId="6" fillId="0" borderId="0" xfId="3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8" fontId="6" fillId="0" borderId="0" xfId="4" applyNumberFormat="1" applyFont="1" applyBorder="1" applyAlignment="1">
      <alignment horizontal="center"/>
    </xf>
    <xf numFmtId="167" fontId="6" fillId="0" borderId="4" xfId="0" applyNumberFormat="1" applyFont="1" applyBorder="1" applyAlignment="1">
      <alignment horizontal="center"/>
    </xf>
    <xf numFmtId="4" fontId="6" fillId="0" borderId="15" xfId="0" applyNumberFormat="1" applyFont="1" applyBorder="1" applyAlignment="1">
      <alignment horizontal="center"/>
    </xf>
    <xf numFmtId="9" fontId="6" fillId="0" borderId="15" xfId="3" applyFont="1" applyBorder="1" applyAlignment="1">
      <alignment horizontal="center"/>
    </xf>
    <xf numFmtId="167" fontId="6" fillId="0" borderId="15" xfId="0" applyNumberFormat="1" applyFont="1" applyBorder="1" applyAlignment="1">
      <alignment horizontal="center"/>
    </xf>
    <xf numFmtId="8" fontId="6" fillId="0" borderId="15" xfId="4" applyNumberFormat="1" applyFont="1" applyBorder="1" applyAlignment="1">
      <alignment horizontal="center"/>
    </xf>
    <xf numFmtId="167" fontId="6" fillId="0" borderId="16" xfId="0" applyNumberFormat="1" applyFont="1" applyBorder="1" applyAlignment="1">
      <alignment horizontal="center"/>
    </xf>
    <xf numFmtId="167" fontId="9" fillId="2" borderId="9" xfId="0" applyNumberFormat="1" applyFont="1" applyFill="1" applyBorder="1" applyAlignment="1">
      <alignment horizontal="center"/>
    </xf>
    <xf numFmtId="176" fontId="6" fillId="0" borderId="0" xfId="0" applyNumberFormat="1" applyFont="1"/>
    <xf numFmtId="0" fontId="9" fillId="2" borderId="10" xfId="0" applyFont="1" applyFill="1" applyBorder="1" applyAlignment="1">
      <alignment horizontal="right"/>
    </xf>
    <xf numFmtId="4" fontId="6" fillId="0" borderId="11" xfId="2" applyNumberFormat="1" applyFont="1" applyBorder="1" applyAlignment="1">
      <alignment horizontal="center"/>
    </xf>
    <xf numFmtId="167" fontId="6" fillId="0" borderId="11" xfId="2" applyNumberFormat="1" applyFont="1" applyBorder="1" applyAlignment="1">
      <alignment horizontal="center"/>
    </xf>
    <xf numFmtId="7" fontId="6" fillId="0" borderId="11" xfId="2" applyNumberFormat="1" applyFont="1" applyBorder="1" applyAlignment="1">
      <alignment horizontal="center"/>
    </xf>
    <xf numFmtId="167" fontId="6" fillId="0" borderId="12" xfId="2" applyNumberFormat="1" applyFont="1" applyBorder="1" applyAlignment="1">
      <alignment horizontal="center"/>
    </xf>
    <xf numFmtId="0" fontId="9" fillId="2" borderId="13" xfId="0" applyFont="1" applyFill="1" applyBorder="1" applyAlignment="1">
      <alignment horizontal="right"/>
    </xf>
    <xf numFmtId="4" fontId="6" fillId="0" borderId="0" xfId="2" applyNumberFormat="1" applyFont="1" applyBorder="1" applyAlignment="1">
      <alignment horizontal="center"/>
    </xf>
    <xf numFmtId="167" fontId="6" fillId="0" borderId="0" xfId="2" applyNumberFormat="1" applyFont="1" applyBorder="1" applyAlignment="1">
      <alignment horizontal="center"/>
    </xf>
    <xf numFmtId="176" fontId="6" fillId="0" borderId="0" xfId="2" applyNumberFormat="1" applyFont="1" applyBorder="1" applyAlignment="1">
      <alignment horizontal="center"/>
    </xf>
    <xf numFmtId="167" fontId="6" fillId="0" borderId="4" xfId="2" applyNumberFormat="1" applyFont="1" applyBorder="1" applyAlignment="1">
      <alignment horizontal="center"/>
    </xf>
    <xf numFmtId="176" fontId="6" fillId="0" borderId="0" xfId="0" applyNumberFormat="1" applyFont="1" applyAlignment="1">
      <alignment horizontal="center"/>
    </xf>
    <xf numFmtId="0" fontId="9" fillId="2" borderId="14" xfId="0" applyFont="1" applyFill="1" applyBorder="1" applyAlignment="1">
      <alignment horizontal="right"/>
    </xf>
    <xf numFmtId="4" fontId="6" fillId="0" borderId="15" xfId="2" applyNumberFormat="1" applyFont="1" applyBorder="1" applyAlignment="1">
      <alignment horizontal="center"/>
    </xf>
    <xf numFmtId="176" fontId="6" fillId="0" borderId="15" xfId="0" applyNumberFormat="1" applyFont="1" applyBorder="1" applyAlignment="1">
      <alignment horizontal="center"/>
    </xf>
    <xf numFmtId="167" fontId="9" fillId="2" borderId="9" xfId="0" applyNumberFormat="1" applyFont="1" applyFill="1" applyBorder="1"/>
    <xf numFmtId="43" fontId="6" fillId="0" borderId="5" xfId="0" applyNumberFormat="1" applyFont="1" applyBorder="1"/>
    <xf numFmtId="43" fontId="9" fillId="2" borderId="8" xfId="2" applyFont="1" applyFill="1" applyBorder="1"/>
    <xf numFmtId="177" fontId="9" fillId="2" borderId="8" xfId="2" applyNumberFormat="1" applyFont="1" applyFill="1" applyBorder="1"/>
    <xf numFmtId="43" fontId="7" fillId="0" borderId="11" xfId="0" applyNumberFormat="1" applyFont="1" applyBorder="1"/>
    <xf numFmtId="43" fontId="7" fillId="0" borderId="12" xfId="0" applyNumberFormat="1" applyFont="1" applyBorder="1"/>
    <xf numFmtId="43" fontId="7" fillId="0" borderId="0" xfId="0" applyNumberFormat="1" applyFont="1"/>
    <xf numFmtId="43" fontId="7" fillId="0" borderId="4" xfId="0" applyNumberFormat="1" applyFont="1" applyBorder="1"/>
    <xf numFmtId="9" fontId="6" fillId="0" borderId="18" xfId="3" applyFont="1" applyBorder="1"/>
    <xf numFmtId="177" fontId="9" fillId="2" borderId="9" xfId="2" applyNumberFormat="1" applyFont="1" applyFill="1" applyBorder="1"/>
    <xf numFmtId="176" fontId="9" fillId="2" borderId="9" xfId="0" applyNumberFormat="1" applyFont="1" applyFill="1" applyBorder="1"/>
    <xf numFmtId="167" fontId="6" fillId="0" borderId="4" xfId="0" applyNumberFormat="1" applyFont="1" applyBorder="1"/>
    <xf numFmtId="164" fontId="9" fillId="2" borderId="9" xfId="3" applyNumberFormat="1" applyFont="1" applyFill="1" applyBorder="1"/>
    <xf numFmtId="7" fontId="6" fillId="0" borderId="4" xfId="0" applyNumberFormat="1" applyFont="1" applyBorder="1"/>
    <xf numFmtId="9" fontId="8" fillId="0" borderId="4" xfId="0" applyNumberFormat="1" applyFont="1" applyBorder="1"/>
    <xf numFmtId="176" fontId="6" fillId="0" borderId="4" xfId="0" applyNumberFormat="1" applyFont="1" applyBorder="1"/>
    <xf numFmtId="0" fontId="9" fillId="2" borderId="13" xfId="0" applyFont="1" applyFill="1" applyBorder="1"/>
    <xf numFmtId="7" fontId="9" fillId="2" borderId="4" xfId="0" applyNumberFormat="1" applyFont="1" applyFill="1" applyBorder="1"/>
    <xf numFmtId="0" fontId="9" fillId="2" borderId="14" xfId="0" applyFont="1" applyFill="1" applyBorder="1"/>
    <xf numFmtId="10" fontId="9" fillId="2" borderId="16" xfId="3" applyNumberFormat="1" applyFont="1" applyFill="1" applyBorder="1"/>
    <xf numFmtId="164" fontId="6" fillId="0" borderId="0" xfId="0" applyNumberFormat="1" applyFont="1"/>
    <xf numFmtId="176" fontId="9" fillId="2" borderId="16" xfId="0" applyNumberFormat="1" applyFont="1" applyFill="1" applyBorder="1"/>
    <xf numFmtId="178" fontId="6" fillId="0" borderId="0" xfId="0" applyNumberFormat="1" applyFont="1"/>
    <xf numFmtId="176" fontId="6" fillId="0" borderId="19" xfId="4" applyNumberFormat="1" applyFont="1" applyBorder="1" applyAlignment="1">
      <alignment horizontal="center"/>
    </xf>
    <xf numFmtId="176" fontId="6" fillId="0" borderId="19" xfId="0" applyNumberFormat="1" applyFont="1" applyBorder="1" applyAlignment="1">
      <alignment horizontal="center"/>
    </xf>
    <xf numFmtId="176" fontId="20" fillId="5" borderId="37" xfId="4" applyNumberFormat="1" applyFont="1" applyFill="1" applyBorder="1" applyAlignment="1">
      <alignment horizontal="center"/>
    </xf>
    <xf numFmtId="176" fontId="20" fillId="5" borderId="31" xfId="4" applyNumberFormat="1" applyFont="1" applyFill="1" applyBorder="1" applyAlignment="1">
      <alignment horizontal="center"/>
    </xf>
    <xf numFmtId="176" fontId="20" fillId="5" borderId="32" xfId="4" applyNumberFormat="1" applyFont="1" applyFill="1" applyBorder="1" applyAlignment="1">
      <alignment horizontal="center"/>
    </xf>
    <xf numFmtId="176" fontId="20" fillId="5" borderId="33" xfId="4" applyNumberFormat="1" applyFont="1" applyFill="1" applyBorder="1" applyAlignment="1">
      <alignment horizontal="center"/>
    </xf>
    <xf numFmtId="176" fontId="20" fillId="5" borderId="6" xfId="4" applyNumberFormat="1" applyFont="1" applyFill="1" applyBorder="1" applyAlignment="1">
      <alignment horizontal="center"/>
    </xf>
    <xf numFmtId="176" fontId="22" fillId="6" borderId="35" xfId="4" applyNumberFormat="1" applyFont="1" applyFill="1" applyBorder="1" applyAlignment="1">
      <alignment horizontal="center"/>
    </xf>
    <xf numFmtId="176" fontId="22" fillId="6" borderId="36" xfId="4" applyNumberFormat="1" applyFont="1" applyFill="1" applyBorder="1" applyAlignment="1">
      <alignment horizontal="center"/>
    </xf>
    <xf numFmtId="176" fontId="22" fillId="6" borderId="6" xfId="4" applyNumberFormat="1" applyFont="1" applyFill="1" applyBorder="1" applyAlignment="1">
      <alignment horizontal="center"/>
    </xf>
    <xf numFmtId="176" fontId="22" fillId="6" borderId="31" xfId="4" applyNumberFormat="1" applyFont="1" applyFill="1" applyBorder="1" applyAlignment="1">
      <alignment horizontal="center"/>
    </xf>
    <xf numFmtId="176" fontId="22" fillId="6" borderId="34" xfId="4" applyNumberFormat="1" applyFont="1" applyFill="1" applyBorder="1" applyAlignment="1">
      <alignment horizontal="center"/>
    </xf>
    <xf numFmtId="176" fontId="20" fillId="5" borderId="37" xfId="0" applyNumberFormat="1" applyFont="1" applyFill="1" applyBorder="1" applyAlignment="1">
      <alignment horizontal="center"/>
    </xf>
    <xf numFmtId="176" fontId="20" fillId="5" borderId="31" xfId="0" applyNumberFormat="1" applyFont="1" applyFill="1" applyBorder="1" applyAlignment="1">
      <alignment horizontal="center"/>
    </xf>
    <xf numFmtId="176" fontId="20" fillId="5" borderId="32" xfId="0" applyNumberFormat="1" applyFont="1" applyFill="1" applyBorder="1" applyAlignment="1">
      <alignment horizontal="center"/>
    </xf>
    <xf numFmtId="176" fontId="20" fillId="5" borderId="33" xfId="0" applyNumberFormat="1" applyFont="1" applyFill="1" applyBorder="1" applyAlignment="1">
      <alignment horizontal="center"/>
    </xf>
    <xf numFmtId="176" fontId="20" fillId="5" borderId="6" xfId="0" applyNumberFormat="1" applyFont="1" applyFill="1" applyBorder="1" applyAlignment="1">
      <alignment horizontal="center"/>
    </xf>
    <xf numFmtId="176" fontId="22" fillId="6" borderId="31" xfId="0" applyNumberFormat="1" applyFont="1" applyFill="1" applyBorder="1" applyAlignment="1">
      <alignment horizontal="center"/>
    </xf>
    <xf numFmtId="176" fontId="22" fillId="6" borderId="34" xfId="0" applyNumberFormat="1" applyFont="1" applyFill="1" applyBorder="1" applyAlignment="1">
      <alignment horizontal="center"/>
    </xf>
    <xf numFmtId="176" fontId="22" fillId="6" borderId="35" xfId="0" applyNumberFormat="1" applyFont="1" applyFill="1" applyBorder="1" applyAlignment="1">
      <alignment horizontal="center"/>
    </xf>
    <xf numFmtId="176" fontId="22" fillId="6" borderId="36" xfId="0" applyNumberFormat="1" applyFont="1" applyFill="1" applyBorder="1" applyAlignment="1">
      <alignment horizontal="center"/>
    </xf>
    <xf numFmtId="176" fontId="22" fillId="6" borderId="6" xfId="0" applyNumberFormat="1" applyFont="1" applyFill="1" applyBorder="1" applyAlignment="1">
      <alignment horizontal="center"/>
    </xf>
    <xf numFmtId="176" fontId="7" fillId="0" borderId="0" xfId="0" applyNumberFormat="1" applyFont="1"/>
    <xf numFmtId="172" fontId="18" fillId="0" borderId="0" xfId="3" applyNumberFormat="1" applyFont="1"/>
    <xf numFmtId="164" fontId="18" fillId="0" borderId="0" xfId="3" applyNumberFormat="1" applyFont="1"/>
    <xf numFmtId="0" fontId="7" fillId="0" borderId="38" xfId="0" applyFont="1" applyBorder="1" applyAlignment="1">
      <alignment horizontal="center"/>
    </xf>
    <xf numFmtId="43" fontId="7" fillId="0" borderId="0" xfId="0" applyNumberFormat="1" applyFont="1" applyAlignment="1">
      <alignment horizontal="left"/>
    </xf>
    <xf numFmtId="168" fontId="18" fillId="0" borderId="0" xfId="0" applyNumberFormat="1" applyFont="1"/>
    <xf numFmtId="169" fontId="17" fillId="0" borderId="0" xfId="2" applyNumberFormat="1" applyFont="1"/>
    <xf numFmtId="0" fontId="6" fillId="0" borderId="19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43" fontId="7" fillId="0" borderId="0" xfId="2" applyFont="1" applyBorder="1"/>
    <xf numFmtId="43" fontId="7" fillId="0" borderId="0" xfId="2" applyFont="1"/>
    <xf numFmtId="43" fontId="7" fillId="0" borderId="4" xfId="2" applyFont="1" applyBorder="1"/>
    <xf numFmtId="43" fontId="7" fillId="0" borderId="6" xfId="2" applyFont="1" applyBorder="1"/>
    <xf numFmtId="43" fontId="7" fillId="0" borderId="18" xfId="2" applyFont="1" applyBorder="1"/>
    <xf numFmtId="43" fontId="3" fillId="0" borderId="26" xfId="2" applyFont="1" applyBorder="1"/>
    <xf numFmtId="43" fontId="3" fillId="0" borderId="25" xfId="2" applyFont="1" applyBorder="1"/>
    <xf numFmtId="43" fontId="7" fillId="0" borderId="26" xfId="0" applyNumberFormat="1" applyFont="1" applyBorder="1"/>
    <xf numFmtId="43" fontId="7" fillId="0" borderId="25" xfId="0" applyNumberFormat="1" applyFont="1" applyBorder="1"/>
    <xf numFmtId="43" fontId="7" fillId="0" borderId="6" xfId="0" applyNumberFormat="1" applyFont="1" applyBorder="1"/>
    <xf numFmtId="43" fontId="7" fillId="0" borderId="18" xfId="0" applyNumberFormat="1" applyFont="1" applyBorder="1"/>
    <xf numFmtId="43" fontId="7" fillId="0" borderId="27" xfId="0" applyNumberFormat="1" applyFont="1" applyBorder="1"/>
    <xf numFmtId="43" fontId="7" fillId="0" borderId="30" xfId="0" applyNumberFormat="1" applyFont="1" applyBorder="1"/>
    <xf numFmtId="43" fontId="7" fillId="0" borderId="15" xfId="0" applyNumberFormat="1" applyFont="1" applyBorder="1"/>
    <xf numFmtId="43" fontId="7" fillId="0" borderId="16" xfId="0" applyNumberFormat="1" applyFont="1" applyBorder="1"/>
    <xf numFmtId="43" fontId="18" fillId="0" borderId="0" xfId="0" applyNumberFormat="1" applyFont="1"/>
    <xf numFmtId="173" fontId="18" fillId="0" borderId="0" xfId="0" applyNumberFormat="1" applyFont="1"/>
    <xf numFmtId="0" fontId="18" fillId="0" borderId="0" xfId="0" applyFont="1"/>
    <xf numFmtId="187" fontId="6" fillId="0" borderId="16" xfId="2" applyNumberFormat="1" applyFont="1" applyBorder="1"/>
    <xf numFmtId="183" fontId="18" fillId="0" borderId="0" xfId="0" applyNumberFormat="1" applyFont="1"/>
    <xf numFmtId="43" fontId="18" fillId="0" borderId="0" xfId="2" applyNumberFormat="1" applyFont="1"/>
    <xf numFmtId="4" fontId="18" fillId="0" borderId="0" xfId="5" applyNumberFormat="1" applyFont="1"/>
    <xf numFmtId="0" fontId="15" fillId="0" borderId="0" xfId="0" applyFont="1" applyBorder="1"/>
    <xf numFmtId="0" fontId="15" fillId="0" borderId="31" xfId="0" applyFont="1" applyBorder="1"/>
    <xf numFmtId="10" fontId="15" fillId="0" borderId="0" xfId="3" applyNumberFormat="1" applyFont="1"/>
    <xf numFmtId="43" fontId="18" fillId="0" borderId="0" xfId="4" applyNumberFormat="1" applyFont="1" applyFill="1"/>
    <xf numFmtId="43" fontId="18" fillId="0" borderId="0" xfId="0" applyNumberFormat="1" applyFont="1" applyFill="1"/>
    <xf numFmtId="43" fontId="18" fillId="0" borderId="0" xfId="2" applyFont="1" applyFill="1"/>
    <xf numFmtId="2" fontId="18" fillId="0" borderId="6" xfId="0" applyNumberFormat="1" applyFont="1" applyBorder="1"/>
    <xf numFmtId="169" fontId="18" fillId="0" borderId="0" xfId="2" applyNumberFormat="1" applyFont="1"/>
    <xf numFmtId="43" fontId="17" fillId="0" borderId="0" xfId="2" applyFont="1"/>
    <xf numFmtId="43" fontId="17" fillId="0" borderId="0" xfId="0" applyNumberFormat="1" applyFont="1"/>
    <xf numFmtId="177" fontId="17" fillId="0" borderId="0" xfId="2" applyNumberFormat="1" applyFont="1"/>
    <xf numFmtId="177" fontId="17" fillId="0" borderId="0" xfId="0" applyNumberFormat="1" applyFont="1"/>
    <xf numFmtId="44" fontId="17" fillId="0" borderId="0" xfId="4" applyFont="1"/>
    <xf numFmtId="2" fontId="18" fillId="0" borderId="0" xfId="0" applyNumberFormat="1" applyFont="1" applyBorder="1"/>
    <xf numFmtId="168" fontId="15" fillId="0" borderId="31" xfId="0" applyNumberFormat="1" applyFont="1" applyBorder="1"/>
    <xf numFmtId="0" fontId="6" fillId="0" borderId="0" xfId="0" applyFont="1" applyAlignment="1">
      <alignment horizontal="center"/>
    </xf>
    <xf numFmtId="0" fontId="15" fillId="0" borderId="6" xfId="2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/>
    <xf numFmtId="169" fontId="18" fillId="0" borderId="6" xfId="2" applyNumberFormat="1" applyFont="1" applyBorder="1"/>
    <xf numFmtId="170" fontId="18" fillId="0" borderId="0" xfId="0" applyNumberFormat="1" applyFont="1"/>
    <xf numFmtId="0" fontId="18" fillId="0" borderId="0" xfId="0" applyFont="1" applyBorder="1"/>
  </cellXfs>
  <cellStyles count="6">
    <cellStyle name="Comma" xfId="2" builtinId="3"/>
    <cellStyle name="Currency" xfId="4" builtinId="4"/>
    <cellStyle name="Hyperlink" xfId="5" builtinId="8"/>
    <cellStyle name="Normal" xfId="0" builtinId="0"/>
    <cellStyle name="Normal 2" xfId="1" xr:uid="{4FC00D49-0651-8C45-9B3C-ADBCAF54D9A6}"/>
    <cellStyle name="Percent" xfId="3" builtinId="5"/>
  </cellStyles>
  <dxfs count="0"/>
  <tableStyles count="0" defaultTableStyle="TableStyleMedium2" defaultPivotStyle="PivotStyleLight16"/>
  <colors>
    <mruColors>
      <color rgb="FF0000FF"/>
      <color rgb="FFF9CCAD"/>
      <color rgb="FF1D358A"/>
      <color rgb="FF798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540762</xdr:colOff>
      <xdr:row>1</xdr:row>
      <xdr:rowOff>0</xdr:rowOff>
    </xdr:from>
    <xdr:to>
      <xdr:col>1</xdr:col>
      <xdr:colOff>2968214</xdr:colOff>
      <xdr:row>11</xdr:row>
      <xdr:rowOff>94</xdr:rowOff>
    </xdr:to>
    <xdr:pic>
      <xdr:nvPicPr>
        <xdr:cNvPr id="2" name="Picture 1" descr="GPC logo">
          <a:extLst>
            <a:ext uri="{FF2B5EF4-FFF2-40B4-BE49-F238E27FC236}">
              <a16:creationId xmlns:a16="http://schemas.microsoft.com/office/drawing/2014/main" id="{540B04D7-FC53-6D44-BB56-8F462C5EF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6262" y="203200"/>
          <a:ext cx="2427452" cy="2032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lee/Downloads/Greg%20Blotnick%20Recreated%20Model%2012.23.25%20(1).xlsx" TargetMode="External"/><Relationship Id="rId1" Type="http://schemas.openxmlformats.org/officeDocument/2006/relationships/externalLinkPath" Target="/Users/rlee/Downloads/Greg%20Blotnick%20Recreated%20Model%2012.23.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Model"/>
      <sheetName val="Drivers"/>
    </sheetNames>
    <sheetDataSet>
      <sheetData sheetId="0"/>
      <sheetData sheetId="1"/>
      <sheetData sheetId="2">
        <row r="8">
          <cell r="B8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click();" TargetMode="External"/><Relationship Id="rId2" Type="http://schemas.openxmlformats.org/officeDocument/2006/relationships/hyperlink" Target="javascript:click();" TargetMode="External"/><Relationship Id="rId1" Type="http://schemas.openxmlformats.org/officeDocument/2006/relationships/hyperlink" Target="javascript:click();" TargetMode="External"/><Relationship Id="rId5" Type="http://schemas.openxmlformats.org/officeDocument/2006/relationships/hyperlink" Target="javascript:click();" TargetMode="External"/><Relationship Id="rId4" Type="http://schemas.openxmlformats.org/officeDocument/2006/relationships/hyperlink" Target="javascript:click(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603A-CC5A-8342-A22F-93FDCDCD399F}">
  <dimension ref="A1:D20"/>
  <sheetViews>
    <sheetView showGridLines="0" zoomScaleNormal="100" workbookViewId="0">
      <selection activeCell="B20" sqref="B20"/>
    </sheetView>
  </sheetViews>
  <sheetFormatPr baseColWidth="10" defaultColWidth="0" defaultRowHeight="16" zeroHeight="1"/>
  <cols>
    <col min="1" max="1" width="10.83203125" customWidth="1"/>
    <col min="2" max="2" width="45.83203125" style="1" customWidth="1"/>
    <col min="3" max="3" width="20.83203125" style="1" customWidth="1"/>
    <col min="4" max="4" width="10.83203125" customWidth="1"/>
    <col min="5" max="16384" width="10.83203125" hidden="1"/>
  </cols>
  <sheetData>
    <row r="1" spans="2:3"/>
    <row r="2" spans="2:3"/>
    <row r="3" spans="2:3"/>
    <row r="4" spans="2:3"/>
    <row r="5" spans="2:3"/>
    <row r="6" spans="2:3"/>
    <row r="7" spans="2:3"/>
    <row r="8" spans="2:3"/>
    <row r="9" spans="2:3"/>
    <row r="10" spans="2:3"/>
    <row r="11" spans="2:3"/>
    <row r="12" spans="2:3" ht="17" thickBot="1"/>
    <row r="13" spans="2:3" ht="19">
      <c r="B13" s="3" t="s">
        <v>0</v>
      </c>
      <c r="C13" s="72"/>
    </row>
    <row r="14" spans="2:3" ht="19">
      <c r="B14" s="2" t="s">
        <v>1</v>
      </c>
      <c r="C14" s="73"/>
    </row>
    <row r="15" spans="2:3" ht="19">
      <c r="B15" s="2" t="s">
        <v>2</v>
      </c>
      <c r="C15" s="73"/>
    </row>
    <row r="16" spans="2:3" ht="19">
      <c r="B16" s="2" t="s">
        <v>53</v>
      </c>
      <c r="C16" s="73"/>
    </row>
    <row r="17" spans="2:3" ht="19">
      <c r="B17" s="2" t="s">
        <v>54</v>
      </c>
      <c r="C17" s="73"/>
    </row>
    <row r="18" spans="2:3" ht="20" thickBot="1">
      <c r="B18" s="4">
        <v>45931</v>
      </c>
      <c r="C18" s="74"/>
    </row>
    <row r="19" spans="2:3"/>
    <row r="20" spans="2:3"/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4B2A-AE8E-E447-93BC-3F87C64E0B4E}">
  <dimension ref="B1:Q29"/>
  <sheetViews>
    <sheetView showGridLines="0" tabSelected="1" workbookViewId="0">
      <selection activeCell="G17" sqref="G17"/>
    </sheetView>
  </sheetViews>
  <sheetFormatPr baseColWidth="10" defaultRowHeight="16"/>
  <cols>
    <col min="1" max="1" width="4.33203125" style="6" customWidth="1"/>
    <col min="2" max="2" width="34.1640625" style="6" customWidth="1"/>
    <col min="3" max="3" width="11.1640625" style="6" bestFit="1" customWidth="1"/>
    <col min="4" max="6" width="10.83203125" style="6"/>
    <col min="7" max="7" width="30.83203125" style="6" customWidth="1"/>
    <col min="8" max="10" width="10.83203125" style="6"/>
    <col min="11" max="11" width="11.5" style="6" bestFit="1" customWidth="1"/>
    <col min="12" max="16384" width="10.83203125" style="6"/>
  </cols>
  <sheetData>
    <row r="1" spans="2:17" ht="17" thickBot="1"/>
    <row r="2" spans="2:17" ht="17" thickBot="1">
      <c r="B2" s="37" t="s">
        <v>248</v>
      </c>
      <c r="C2" s="261">
        <v>1</v>
      </c>
      <c r="D2" s="317" t="s">
        <v>250</v>
      </c>
      <c r="E2" s="317" t="s">
        <v>249</v>
      </c>
      <c r="F2" s="317" t="s">
        <v>251</v>
      </c>
    </row>
    <row r="3" spans="2:17" ht="7" customHeight="1">
      <c r="B3" s="37"/>
      <c r="C3" s="37"/>
    </row>
    <row r="4" spans="2:17" ht="20" thickBot="1">
      <c r="B4" s="85" t="s">
        <v>82</v>
      </c>
      <c r="C4" s="21"/>
      <c r="D4" s="21"/>
      <c r="E4" s="86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2:17">
      <c r="B5" s="6" t="s">
        <v>83</v>
      </c>
    </row>
    <row r="6" spans="2:17">
      <c r="K6" s="265" t="s">
        <v>84</v>
      </c>
      <c r="L6" s="265"/>
      <c r="M6" s="265"/>
      <c r="N6" s="265"/>
      <c r="O6" s="265"/>
      <c r="P6" s="265"/>
    </row>
    <row r="7" spans="2:17">
      <c r="B7" s="76" t="s">
        <v>58</v>
      </c>
      <c r="C7" s="76"/>
      <c r="D7" s="76"/>
      <c r="E7" s="165">
        <v>45931</v>
      </c>
      <c r="F7" s="297"/>
      <c r="G7" s="76" t="s">
        <v>85</v>
      </c>
      <c r="H7" s="318">
        <f>YEAR($E$7)-3</f>
        <v>2022</v>
      </c>
      <c r="I7" s="318">
        <f>YEAR($E$7)-2</f>
        <v>2023</v>
      </c>
      <c r="J7" s="318">
        <f>YEAR($E$7)-1</f>
        <v>2024</v>
      </c>
      <c r="K7" s="318" t="str">
        <f>YEAR($E$7)&amp;"E"</f>
        <v>2025E</v>
      </c>
      <c r="L7" s="318" t="str">
        <f>YEAR($E$7)+1&amp;"E"</f>
        <v>2026E</v>
      </c>
      <c r="M7" s="318" t="str">
        <f>YEAR($E$7)+2&amp;"E"</f>
        <v>2027E</v>
      </c>
      <c r="N7" s="319" t="str">
        <f>YEAR($E$7)+3&amp;"E"</f>
        <v>2028E</v>
      </c>
      <c r="O7" s="319" t="str">
        <f>YEAR($E$7)+4&amp;"E"</f>
        <v>2029E</v>
      </c>
      <c r="P7" s="319" t="str">
        <f>YEAR($E$7)+5&amp;"E"</f>
        <v>2030E</v>
      </c>
    </row>
    <row r="8" spans="2:17">
      <c r="B8" s="297" t="s">
        <v>59</v>
      </c>
      <c r="C8" s="297"/>
      <c r="D8" s="297"/>
      <c r="E8" s="263">
        <v>138.16999999999999</v>
      </c>
      <c r="F8" s="297"/>
      <c r="G8" s="297" t="s">
        <v>60</v>
      </c>
      <c r="H8" s="87">
        <f>'Financial Statements'!C9</f>
        <v>22095.97</v>
      </c>
      <c r="I8" s="87">
        <f>'Financial Statements'!D9</f>
        <v>23090.61</v>
      </c>
      <c r="J8" s="87">
        <f>'Financial Statements'!E9</f>
        <v>23486.569</v>
      </c>
      <c r="K8" s="87">
        <f ca="1">'Financial Statements'!F9</f>
        <v>24352.186094999997</v>
      </c>
      <c r="L8" s="87">
        <f ca="1">'Financial Statements'!G9</f>
        <v>25289.481514274998</v>
      </c>
      <c r="M8" s="87">
        <f ca="1">'Financial Statements'!H9</f>
        <v>26304.084828064842</v>
      </c>
      <c r="N8" s="87">
        <f ca="1">'Financial Statements'!I9</f>
        <v>27402.220774810106</v>
      </c>
      <c r="O8" s="87">
        <f ca="1">'Financial Statements'!J9</f>
        <v>28590.77337460333</v>
      </c>
      <c r="P8" s="87">
        <f ca="1">'Financial Statements'!K9</f>
        <v>29877.358176460479</v>
      </c>
    </row>
    <row r="9" spans="2:17">
      <c r="B9" s="320" t="s">
        <v>61</v>
      </c>
      <c r="C9" s="320"/>
      <c r="D9" s="320"/>
      <c r="E9" s="321"/>
      <c r="F9" s="297"/>
      <c r="G9" s="77" t="s">
        <v>62</v>
      </c>
      <c r="H9" s="264"/>
      <c r="I9" s="264"/>
      <c r="J9" s="264"/>
      <c r="K9" s="310">
        <v>24060.9</v>
      </c>
      <c r="L9" s="310">
        <v>25233.13</v>
      </c>
      <c r="M9" s="310">
        <v>26353.03</v>
      </c>
      <c r="N9" s="310">
        <v>27428.5</v>
      </c>
      <c r="O9" s="310">
        <v>27942</v>
      </c>
      <c r="P9" s="311">
        <v>28906</v>
      </c>
    </row>
    <row r="10" spans="2:17">
      <c r="B10" s="297" t="s">
        <v>63</v>
      </c>
      <c r="C10" s="297"/>
      <c r="D10" s="297"/>
      <c r="E10" s="322">
        <f>Comps!C10</f>
        <v>19279.582999999999</v>
      </c>
      <c r="F10" s="297"/>
      <c r="G10" s="297" t="s">
        <v>31</v>
      </c>
      <c r="H10" s="87">
        <f>H8+'Financial Statements'!C11+'Financial Statements'!C13+'Financial Statements'!C15</f>
        <v>1962.0150000000006</v>
      </c>
      <c r="I10" s="87">
        <f>I8+'Financial Statements'!D11+'Financial Statements'!D13+'Financial Statements'!D15</f>
        <v>2097.5820000000003</v>
      </c>
      <c r="J10" s="87">
        <f>J8+'Financial Statements'!E11+'Financial Statements'!E13+'Financial Statements'!E15</f>
        <v>1850.7140000000002</v>
      </c>
      <c r="K10" s="87">
        <f ca="1">K8+'Financial Statements'!F11+'Financial Statements'!F13+'Financial Statements'!F15</f>
        <v>1923.8227015049993</v>
      </c>
      <c r="L10" s="87">
        <f ca="1">L8+'Financial Statements'!G11+'Financial Statements'!G13+'Financial Statements'!G15</f>
        <v>2124.316447199099</v>
      </c>
      <c r="M10" s="87">
        <f ca="1">M8+'Financial Statements'!H11+'Financial Statements'!H13+'Financial Statements'!H15</f>
        <v>2341.063549697767</v>
      </c>
      <c r="N10" s="87">
        <f ca="1">N8+'Financial Statements'!I11+'Financial Statements'!I13+'Financial Statements'!I15</f>
        <v>2575.8087528321448</v>
      </c>
      <c r="O10" s="87">
        <f ca="1">O8+'Financial Statements'!J11+'Financial Statements'!J13+'Financial Statements'!J15</f>
        <v>2830.4865640857242</v>
      </c>
      <c r="P10" s="87">
        <f ca="1">P8+'Financial Statements'!K11+'Financial Statements'!K13+'Financial Statements'!K15</f>
        <v>3107.2452503518839</v>
      </c>
    </row>
    <row r="11" spans="2:17">
      <c r="B11" s="320" t="s">
        <v>64</v>
      </c>
      <c r="C11" s="320"/>
      <c r="D11" s="320"/>
      <c r="E11" s="321">
        <v>3806.91</v>
      </c>
      <c r="F11" s="297"/>
      <c r="G11" s="77" t="s">
        <v>62</v>
      </c>
      <c r="H11" s="297"/>
      <c r="I11" s="297"/>
      <c r="J11" s="297"/>
      <c r="K11" s="310">
        <v>1930.91</v>
      </c>
      <c r="L11" s="310">
        <v>2209.1799999999998</v>
      </c>
      <c r="M11" s="310">
        <v>2345.3000000000002</v>
      </c>
      <c r="N11" s="312">
        <v>2446.5</v>
      </c>
      <c r="O11" s="312">
        <v>2456</v>
      </c>
      <c r="P11" s="313">
        <v>2543</v>
      </c>
    </row>
    <row r="12" spans="2:17">
      <c r="B12" s="297" t="s">
        <v>65</v>
      </c>
      <c r="C12" s="297"/>
      <c r="D12" s="297"/>
      <c r="E12" s="322">
        <f>+E10+E11</f>
        <v>23086.492999999999</v>
      </c>
      <c r="F12" s="297"/>
      <c r="G12" s="297" t="s">
        <v>66</v>
      </c>
      <c r="H12" s="263">
        <f>'Financial Statements'!C24/141.47</f>
        <v>8.3600622040008474</v>
      </c>
      <c r="I12" s="263">
        <f>'Financial Statements'!D24/140.37</f>
        <v>9.3789556172971427</v>
      </c>
      <c r="J12" s="263">
        <f>'Financial Statements'!E24/139.21</f>
        <v>6.4943323037138088</v>
      </c>
      <c r="K12" s="263">
        <f ca="1">'Financial Statements'!F24/140</f>
        <v>7.1412785723587398</v>
      </c>
      <c r="L12" s="263">
        <f ca="1">'Financial Statements'!G24/140</f>
        <v>8.6291323709779668</v>
      </c>
      <c r="M12" s="263">
        <f ca="1">'Financial Statements'!H24/140</f>
        <v>9.1979748054136508</v>
      </c>
      <c r="N12" s="263">
        <f ca="1">'Financial Statements'!I24/140</f>
        <v>9.8139096403498289</v>
      </c>
      <c r="O12" s="263">
        <f ca="1">'Financial Statements'!J24/140</f>
        <v>10.481581738939369</v>
      </c>
      <c r="P12" s="263">
        <f ca="1">'Financial Statements'!K24/140</f>
        <v>11.20614341318525</v>
      </c>
    </row>
    <row r="13" spans="2:17">
      <c r="B13" s="297"/>
      <c r="C13" s="297"/>
      <c r="D13" s="297"/>
      <c r="E13" s="297"/>
      <c r="F13" s="297"/>
      <c r="G13" s="77" t="s">
        <v>62</v>
      </c>
      <c r="H13" s="297"/>
      <c r="I13" s="297"/>
      <c r="J13" s="297"/>
      <c r="K13" s="314">
        <v>6.58</v>
      </c>
      <c r="L13" s="314">
        <v>8.36</v>
      </c>
      <c r="M13" s="314">
        <v>9.26</v>
      </c>
      <c r="N13" s="314">
        <v>10.07</v>
      </c>
      <c r="O13" s="314">
        <v>10.71</v>
      </c>
      <c r="P13" s="314">
        <v>11.4</v>
      </c>
    </row>
    <row r="14" spans="2:17">
      <c r="B14" s="76" t="s">
        <v>35</v>
      </c>
      <c r="C14" s="76" t="s">
        <v>67</v>
      </c>
      <c r="D14" s="76" t="s">
        <v>68</v>
      </c>
      <c r="E14" s="76" t="s">
        <v>69</v>
      </c>
      <c r="F14" s="297"/>
      <c r="G14" s="297" t="s">
        <v>70</v>
      </c>
      <c r="H14" s="87">
        <v>821.2</v>
      </c>
      <c r="I14" s="87">
        <v>703.97</v>
      </c>
      <c r="J14" s="87">
        <v>447.97</v>
      </c>
      <c r="K14" s="87">
        <f ca="1">DCF!C25</f>
        <v>1214.121997523976</v>
      </c>
      <c r="L14" s="87">
        <f ca="1">DCF!D25</f>
        <v>950.67527805212831</v>
      </c>
      <c r="M14" s="87">
        <f ca="1">DCF!E25</f>
        <v>977.46720616010111</v>
      </c>
      <c r="N14" s="87">
        <f ca="1">DCF!F25</f>
        <v>1006.3572034364452</v>
      </c>
      <c r="O14" s="87">
        <f ca="1">DCF!G25</f>
        <v>1037.4758271509434</v>
      </c>
      <c r="P14" s="87">
        <f ca="1">DCF!H25</f>
        <v>1070.9660549139044</v>
      </c>
    </row>
    <row r="15" spans="2:17">
      <c r="B15" s="297" t="s">
        <v>46</v>
      </c>
      <c r="C15" s="305">
        <v>21541.127930979026</v>
      </c>
      <c r="D15" s="306">
        <v>26721.666993328872</v>
      </c>
      <c r="E15" s="306">
        <v>14310.174799639417</v>
      </c>
      <c r="F15" s="297"/>
      <c r="G15" s="77" t="s">
        <v>71</v>
      </c>
      <c r="H15" s="309">
        <v>142.30000000000001</v>
      </c>
      <c r="I15" s="309">
        <v>141</v>
      </c>
      <c r="J15" s="309">
        <v>139.69999999999999</v>
      </c>
      <c r="K15" s="309">
        <v>139.19999999999999</v>
      </c>
      <c r="L15" s="309">
        <v>140</v>
      </c>
      <c r="M15" s="309">
        <v>140</v>
      </c>
      <c r="N15" s="309">
        <v>140</v>
      </c>
      <c r="O15" s="309">
        <v>140</v>
      </c>
      <c r="P15" s="309">
        <v>140</v>
      </c>
    </row>
    <row r="16" spans="2:17">
      <c r="B16" s="323" t="s">
        <v>47</v>
      </c>
      <c r="C16" s="315">
        <v>139.66999999999999</v>
      </c>
      <c r="D16" s="315">
        <v>139.66999999999999</v>
      </c>
      <c r="E16" s="315">
        <v>139.66999999999999</v>
      </c>
      <c r="F16" s="297"/>
      <c r="G16" s="297" t="s">
        <v>72</v>
      </c>
      <c r="H16" s="263">
        <f>H14/H15</f>
        <v>5.7709065354884048</v>
      </c>
      <c r="I16" s="263">
        <f t="shared" ref="I16:K16" si="0">I14/I15</f>
        <v>4.9926950354609927</v>
      </c>
      <c r="J16" s="263">
        <f t="shared" si="0"/>
        <v>3.2066571224051543</v>
      </c>
      <c r="K16" s="263">
        <f t="shared" ca="1" si="0"/>
        <v>8.7221407868101739</v>
      </c>
      <c r="L16" s="263">
        <f t="shared" ref="L16" ca="1" si="1">L14/L15</f>
        <v>6.7905377003723446</v>
      </c>
      <c r="M16" s="263">
        <f t="shared" ref="M16" ca="1" si="2">M14/M15</f>
        <v>6.981908615429294</v>
      </c>
      <c r="N16" s="263">
        <f t="shared" ref="N16" ca="1" si="3">N14/N15</f>
        <v>7.1882657388317508</v>
      </c>
      <c r="O16" s="263">
        <f t="shared" ref="O16" ca="1" si="4">O14/O15</f>
        <v>7.410541622506738</v>
      </c>
      <c r="P16" s="263">
        <f t="shared" ref="P16" ca="1" si="5">P14/P15</f>
        <v>7.649757535099317</v>
      </c>
    </row>
    <row r="17" spans="2:16">
      <c r="B17" s="303" t="s">
        <v>73</v>
      </c>
      <c r="C17" s="316">
        <f>C15/C16</f>
        <v>154.22873867673107</v>
      </c>
      <c r="D17" s="316">
        <f t="shared" ref="D17:E17" si="6">D15/D16</f>
        <v>191.32001856754403</v>
      </c>
      <c r="E17" s="316">
        <f t="shared" si="6"/>
        <v>102.45704016352416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</row>
    <row r="18" spans="2:16">
      <c r="B18" s="297"/>
      <c r="C18" s="297"/>
      <c r="D18" s="297"/>
      <c r="E18" s="297"/>
      <c r="F18" s="297"/>
      <c r="G18" s="297" t="s">
        <v>75</v>
      </c>
      <c r="H18" s="81"/>
      <c r="I18" s="259">
        <f>'Financial Statements'!D10</f>
        <v>4.5014543376009263E-2</v>
      </c>
      <c r="J18" s="259">
        <f>'Financial Statements'!E10</f>
        <v>1.7148052823203842E-2</v>
      </c>
      <c r="K18" s="259">
        <f ca="1">'Financial Statements'!F10</f>
        <v>3.6855834285544127E-2</v>
      </c>
      <c r="L18" s="259">
        <f ca="1">'Financial Statements'!G10</f>
        <v>3.8489169539791181E-2</v>
      </c>
      <c r="M18" s="259">
        <f ca="1">'Financial Statements'!H10</f>
        <v>4.0119577509611572E-2</v>
      </c>
      <c r="N18" s="259">
        <f ca="1">'Financial Statements'!I10</f>
        <v>4.1747734388904507E-2</v>
      </c>
      <c r="O18" s="259">
        <f ca="1">'Financial Statements'!J10</f>
        <v>4.3374316613265816E-2</v>
      </c>
      <c r="P18" s="259">
        <f ca="1">'Financial Statements'!K10</f>
        <v>4.4999999999999957E-2</v>
      </c>
    </row>
    <row r="19" spans="2:16">
      <c r="B19" s="76" t="s">
        <v>36</v>
      </c>
      <c r="C19" s="76" t="s">
        <v>67</v>
      </c>
      <c r="D19" s="76" t="s">
        <v>68</v>
      </c>
      <c r="E19" s="76" t="s">
        <v>69</v>
      </c>
      <c r="F19" s="297"/>
      <c r="G19" s="297" t="s">
        <v>76</v>
      </c>
      <c r="H19" s="260">
        <f>'Financial Statements'!C12/'Financial Statements'!C9</f>
        <v>0.3502946917469566</v>
      </c>
      <c r="I19" s="260">
        <f>'Financial Statements'!D12/'Financial Statements'!D9</f>
        <v>0.35904950107424621</v>
      </c>
      <c r="J19" s="260">
        <f>'Financial Statements'!E12/'Financial Statements'!E9</f>
        <v>0.36291443846055166</v>
      </c>
      <c r="K19" s="260">
        <f ca="1">'Financial Statements'!F12/'Financial Statements'!F9</f>
        <v>0.36499999999999999</v>
      </c>
      <c r="L19" s="260">
        <f ca="1">'Financial Statements'!G12/'Financial Statements'!G9</f>
        <v>0.36749999999999994</v>
      </c>
      <c r="M19" s="260">
        <f ca="1">'Financial Statements'!H12/'Financial Statements'!H9</f>
        <v>0.36999999999999983</v>
      </c>
      <c r="N19" s="260">
        <f ca="1">'Financial Statements'!I12/'Financial Statements'!I9</f>
        <v>0.37249999999999978</v>
      </c>
      <c r="O19" s="260">
        <f ca="1">'Financial Statements'!J12/'Financial Statements'!J9</f>
        <v>0.37499999999999978</v>
      </c>
      <c r="P19" s="260">
        <f ca="1">'Financial Statements'!K12/'Financial Statements'!K9</f>
        <v>0.37749999999999978</v>
      </c>
    </row>
    <row r="20" spans="2:16">
      <c r="B20" s="297" t="s">
        <v>46</v>
      </c>
      <c r="C20" s="307">
        <v>29135.14674696463</v>
      </c>
      <c r="D20" s="307">
        <v>34919.896245894939</v>
      </c>
      <c r="E20" s="307">
        <v>21137.199296540297</v>
      </c>
      <c r="F20" s="297"/>
      <c r="G20" s="297" t="s">
        <v>77</v>
      </c>
      <c r="H20" s="260">
        <f>H10/H8</f>
        <v>8.8795151333025901E-2</v>
      </c>
      <c r="I20" s="260">
        <f t="shared" ref="I20:P20" si="7">I10/I8</f>
        <v>9.0841342000059777E-2</v>
      </c>
      <c r="J20" s="260">
        <f t="shared" si="7"/>
        <v>7.8798823276401087E-2</v>
      </c>
      <c r="K20" s="260">
        <f t="shared" ca="1" si="7"/>
        <v>7.8999999999999973E-2</v>
      </c>
      <c r="L20" s="260">
        <f t="shared" ca="1" si="7"/>
        <v>8.3999999999999964E-2</v>
      </c>
      <c r="M20" s="260">
        <f t="shared" ca="1" si="7"/>
        <v>8.8999999999999843E-2</v>
      </c>
      <c r="N20" s="260">
        <f t="shared" ca="1" si="7"/>
        <v>9.3999999999999806E-2</v>
      </c>
      <c r="O20" s="260">
        <f t="shared" ca="1" si="7"/>
        <v>9.899999999999981E-2</v>
      </c>
      <c r="P20" s="260">
        <f t="shared" ca="1" si="7"/>
        <v>0.1039999999999998</v>
      </c>
    </row>
    <row r="21" spans="2:16">
      <c r="B21" s="320" t="s">
        <v>47</v>
      </c>
      <c r="C21" s="308">
        <v>139.66999999999999</v>
      </c>
      <c r="D21" s="308">
        <v>139.66999999999999</v>
      </c>
      <c r="E21" s="308">
        <v>139.66999999999999</v>
      </c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</row>
    <row r="22" spans="2:16">
      <c r="B22" s="78" t="s">
        <v>73</v>
      </c>
      <c r="C22" s="79">
        <f>C20/C21</f>
        <v>208.59989079232929</v>
      </c>
      <c r="D22" s="79">
        <f t="shared" ref="D22:E22" si="8">D20/D21</f>
        <v>250.01715648238664</v>
      </c>
      <c r="E22" s="79">
        <f t="shared" si="8"/>
        <v>151.3367172373473</v>
      </c>
      <c r="F22" s="297"/>
      <c r="G22" s="297" t="s">
        <v>78</v>
      </c>
      <c r="H22" s="296">
        <f t="shared" ref="H22:K22" si="9">$E$12/H10</f>
        <v>11.766726044398229</v>
      </c>
      <c r="I22" s="296">
        <f t="shared" si="9"/>
        <v>11.006240995584438</v>
      </c>
      <c r="J22" s="296">
        <f t="shared" si="9"/>
        <v>12.474370972500342</v>
      </c>
      <c r="K22" s="296">
        <f t="shared" ca="1" si="9"/>
        <v>12.000322577511701</v>
      </c>
      <c r="L22" s="296">
        <f ca="1">$E$12/L10</f>
        <v>10.867727842732389</v>
      </c>
      <c r="M22" s="296">
        <f t="shared" ref="M22:P22" ca="1" si="10">$E$12/M10</f>
        <v>9.8615404964040732</v>
      </c>
      <c r="N22" s="296">
        <f t="shared" ca="1" si="10"/>
        <v>8.9628133201333426</v>
      </c>
      <c r="O22" s="296">
        <f t="shared" ca="1" si="10"/>
        <v>8.1563690472620802</v>
      </c>
      <c r="P22" s="296">
        <f t="shared" ca="1" si="10"/>
        <v>7.429890832526187</v>
      </c>
    </row>
    <row r="23" spans="2:16">
      <c r="B23" s="297"/>
      <c r="C23" s="80"/>
      <c r="D23" s="80"/>
      <c r="E23" s="80"/>
      <c r="F23" s="297"/>
      <c r="G23" s="297" t="s">
        <v>80</v>
      </c>
      <c r="H23" s="296">
        <f t="shared" ref="H23:K23" si="11">$E$8/H12</f>
        <v>16.527388986875771</v>
      </c>
      <c r="I23" s="296">
        <f t="shared" si="11"/>
        <v>14.731917458398023</v>
      </c>
      <c r="J23" s="296">
        <f t="shared" si="11"/>
        <v>21.275474296408724</v>
      </c>
      <c r="K23" s="296">
        <f t="shared" ca="1" si="11"/>
        <v>19.348075922259241</v>
      </c>
      <c r="L23" s="296">
        <f ca="1">$E$8/L12</f>
        <v>16.012038529470459</v>
      </c>
      <c r="M23" s="296">
        <f t="shared" ref="M23:P23" ca="1" si="12">$E$8/M12</f>
        <v>15.021785004094303</v>
      </c>
      <c r="N23" s="296">
        <f t="shared" ca="1" si="12"/>
        <v>14.078996553210036</v>
      </c>
      <c r="O23" s="296">
        <f t="shared" ca="1" si="12"/>
        <v>13.182170729699562</v>
      </c>
      <c r="P23" s="296">
        <f t="shared" ca="1" si="12"/>
        <v>12.329843988738169</v>
      </c>
    </row>
    <row r="24" spans="2:16">
      <c r="B24" s="302"/>
      <c r="C24" s="76" t="s">
        <v>67</v>
      </c>
      <c r="D24" s="76" t="s">
        <v>68</v>
      </c>
      <c r="E24" s="76" t="s">
        <v>69</v>
      </c>
      <c r="F24" s="297"/>
      <c r="G24" s="297" t="s">
        <v>79</v>
      </c>
      <c r="H24" s="297"/>
      <c r="I24" s="297"/>
      <c r="J24" s="297"/>
      <c r="K24" s="297"/>
      <c r="L24" s="260"/>
      <c r="M24" s="260"/>
      <c r="N24" s="260"/>
      <c r="O24" s="260"/>
      <c r="P24" s="297"/>
    </row>
    <row r="25" spans="2:16">
      <c r="B25" s="303" t="s">
        <v>49</v>
      </c>
      <c r="C25" s="79">
        <f>C17*0.5+C22*0.5</f>
        <v>181.41431473453019</v>
      </c>
      <c r="D25" s="79">
        <f t="shared" ref="D25:E25" si="13">D17*0.5+D22*0.5</f>
        <v>220.66858752496535</v>
      </c>
      <c r="E25" s="79">
        <f t="shared" si="13"/>
        <v>126.89687870043574</v>
      </c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</row>
    <row r="26" spans="2:16">
      <c r="B26" s="297"/>
      <c r="C26" s="297"/>
      <c r="D26" s="297"/>
      <c r="E26" s="263"/>
      <c r="F26" s="297"/>
      <c r="G26" s="297" t="s">
        <v>64</v>
      </c>
      <c r="H26" s="300">
        <v>2675.36</v>
      </c>
      <c r="I26" s="300">
        <v>2804.22</v>
      </c>
      <c r="J26" s="300">
        <v>3804.35</v>
      </c>
      <c r="K26" s="300">
        <v>3806.91</v>
      </c>
      <c r="L26" s="300">
        <v>4045.42</v>
      </c>
      <c r="M26" s="300">
        <v>3857.94</v>
      </c>
      <c r="N26" s="300">
        <v>3269</v>
      </c>
      <c r="O26" s="301">
        <v>3055</v>
      </c>
      <c r="P26" s="295">
        <v>3113</v>
      </c>
    </row>
    <row r="27" spans="2:16">
      <c r="B27" s="78" t="s">
        <v>74</v>
      </c>
      <c r="C27" s="304">
        <f>(C25-$E$8)/$E$8</f>
        <v>0.31297904562879214</v>
      </c>
      <c r="D27" s="304">
        <f t="shared" ref="D27:E27" si="14">(D25-$E$8)/$E$8</f>
        <v>0.59708031790522809</v>
      </c>
      <c r="E27" s="304">
        <f t="shared" si="14"/>
        <v>-8.1588776865920629E-2</v>
      </c>
      <c r="F27" s="297"/>
      <c r="G27" s="297" t="s">
        <v>81</v>
      </c>
      <c r="H27" s="299">
        <f>H26/H10</f>
        <v>1.3635777504249456</v>
      </c>
      <c r="I27" s="299">
        <f t="shared" ref="I27:P27" si="15">I26/I10</f>
        <v>1.3368821814832503</v>
      </c>
      <c r="J27" s="299">
        <f t="shared" si="15"/>
        <v>2.0556120502681665</v>
      </c>
      <c r="K27" s="299">
        <f t="shared" ca="1" si="15"/>
        <v>1.9788258018900955</v>
      </c>
      <c r="L27" s="299">
        <f t="shared" ca="1" si="15"/>
        <v>1.9043396313830112</v>
      </c>
      <c r="M27" s="299">
        <f t="shared" ca="1" si="15"/>
        <v>1.6479433035886886</v>
      </c>
      <c r="N27" s="299">
        <f t="shared" ca="1" si="15"/>
        <v>1.2691159607271618</v>
      </c>
      <c r="O27" s="299">
        <f t="shared" ca="1" si="15"/>
        <v>1.0793197320782182</v>
      </c>
      <c r="P27" s="299">
        <f t="shared" ca="1" si="15"/>
        <v>1.0018520423025714</v>
      </c>
    </row>
    <row r="28" spans="2:16">
      <c r="H28" s="82"/>
      <c r="I28" s="82"/>
      <c r="J28" s="82"/>
      <c r="K28" s="82"/>
      <c r="L28" s="82"/>
      <c r="M28" s="82"/>
      <c r="N28" s="82"/>
      <c r="O28" s="82"/>
      <c r="P28" s="82"/>
    </row>
    <row r="29" spans="2:16">
      <c r="H29" s="82"/>
      <c r="I29" s="82"/>
      <c r="J29" s="82"/>
      <c r="K29" s="82"/>
      <c r="L29" s="82"/>
      <c r="M29" s="82"/>
      <c r="N29" s="82"/>
      <c r="O29" s="82"/>
      <c r="P29" s="82"/>
    </row>
  </sheetData>
  <mergeCells count="1">
    <mergeCell ref="K6:P6"/>
  </mergeCells>
  <dataValidations count="1">
    <dataValidation type="list" allowBlank="1" showInputMessage="1" showErrorMessage="1" sqref="C2:C3" xr:uid="{3AED9A33-94EE-1B44-979D-EEA8F67612B9}">
      <formula1>"1, 2, 3"</formula1>
    </dataValidation>
  </dataValidations>
  <hyperlinks>
    <hyperlink ref="L13" r:id="rId1" tooltip="EPS (GAAP) Final Est. - _x000a_Fiscal Year: 2026" display="javascript:click();" xr:uid="{E4D217B2-BAC8-7843-893A-994678702FDF}"/>
    <hyperlink ref="M13" r:id="rId2" tooltip="EPS (GAAP) Final Est. - _x000a_Fiscal Year: 2027" display="javascript:click();" xr:uid="{1B75B1FB-1CA8-0144-9CEC-326A300B3F3B}"/>
    <hyperlink ref="N13" r:id="rId3" tooltip="EPS (GAAP) Final Est. - _x000a_Fiscal Year: 2028" display="javascript:click();" xr:uid="{4DC160E3-36CE-D14B-B935-104348B7ABBA}"/>
    <hyperlink ref="O13" r:id="rId4" tooltip="EPS (GAAP) Final Est. - _x000a_Fiscal Year: 2029" display="javascript:click();" xr:uid="{15CDE8EC-2A38-2F4D-881A-E329B595E5C7}"/>
    <hyperlink ref="O26" r:id="rId5" tooltip="Net Debt Final Est. - _x000a_Fiscal Year: 2029" display="javascript:click();" xr:uid="{F704651A-4134-7A4B-983E-39093366D2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EBCE-5A88-0C4D-8984-D5A37C255662}">
  <dimension ref="A1:L108"/>
  <sheetViews>
    <sheetView showGridLines="0" workbookViewId="0">
      <pane ySplit="5" topLeftCell="A6" activePane="bottomLeft" state="frozen"/>
      <selection pane="bottomLeft" activeCell="C22" sqref="C22"/>
    </sheetView>
  </sheetViews>
  <sheetFormatPr baseColWidth="10" defaultColWidth="0" defaultRowHeight="16" zeroHeight="1"/>
  <cols>
    <col min="1" max="1" width="4.33203125" customWidth="1"/>
    <col min="2" max="2" width="50.83203125" customWidth="1"/>
    <col min="3" max="11" width="12.83203125" customWidth="1"/>
    <col min="12" max="12" width="10.83203125" customWidth="1"/>
    <col min="13" max="16384" width="10.83203125" hidden="1"/>
  </cols>
  <sheetData>
    <row r="1" spans="2:11"/>
    <row r="2" spans="2:11">
      <c r="B2" s="117" t="s">
        <v>172</v>
      </c>
      <c r="C2" s="117">
        <f>Summary!C2</f>
        <v>1</v>
      </c>
    </row>
    <row r="3" spans="2:11" ht="19" customHeight="1">
      <c r="B3" s="116" t="s">
        <v>3</v>
      </c>
      <c r="C3" s="37"/>
      <c r="D3" s="37"/>
      <c r="E3" s="37"/>
      <c r="F3" s="266" t="s">
        <v>87</v>
      </c>
      <c r="G3" s="266"/>
      <c r="H3" s="266"/>
      <c r="I3" s="266"/>
      <c r="J3" s="266"/>
      <c r="K3" s="26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>
      <c r="C6" s="103"/>
      <c r="D6" s="103"/>
      <c r="E6" s="103"/>
      <c r="F6" s="103"/>
      <c r="G6" s="103"/>
      <c r="H6" s="103"/>
      <c r="I6" s="103"/>
      <c r="J6" s="103"/>
      <c r="K6" s="103"/>
    </row>
    <row r="7" spans="2:11" ht="17" thickBot="1"/>
    <row r="8" spans="2:11" ht="25" customHeight="1" thickBot="1">
      <c r="B8" s="88" t="s">
        <v>86</v>
      </c>
      <c r="C8" s="89"/>
      <c r="D8" s="89"/>
      <c r="E8" s="89"/>
      <c r="F8" s="89"/>
      <c r="G8" s="89"/>
      <c r="H8" s="89"/>
      <c r="I8" s="89"/>
      <c r="J8" s="89"/>
      <c r="K8" s="90"/>
    </row>
    <row r="9" spans="2:11">
      <c r="B9" s="12" t="s">
        <v>11</v>
      </c>
      <c r="C9" s="95">
        <v>22095.97</v>
      </c>
      <c r="D9" s="95">
        <v>23090.61</v>
      </c>
      <c r="E9" s="98">
        <v>23486.569</v>
      </c>
      <c r="F9" s="98">
        <f ca="1">'Revenue Build'!F7</f>
        <v>24352.186094999997</v>
      </c>
      <c r="G9" s="95">
        <f ca="1">'Revenue Build'!G7</f>
        <v>25289.481514274998</v>
      </c>
      <c r="H9" s="95">
        <f ca="1">'Revenue Build'!H7</f>
        <v>26304.084828064842</v>
      </c>
      <c r="I9" s="95">
        <f ca="1">'Revenue Build'!I7</f>
        <v>27402.220774810106</v>
      </c>
      <c r="J9" s="95">
        <f ca="1">'Revenue Build'!J7</f>
        <v>28590.77337460333</v>
      </c>
      <c r="K9" s="143">
        <f ca="1">'Revenue Build'!K7</f>
        <v>29877.358176460479</v>
      </c>
    </row>
    <row r="10" spans="2:11">
      <c r="B10" s="27" t="s">
        <v>12</v>
      </c>
      <c r="C10" s="104"/>
      <c r="D10" s="30">
        <f>(D9-C9)/C9</f>
        <v>4.5014543376009263E-2</v>
      </c>
      <c r="E10" s="30">
        <f>(E9-D9)/D9</f>
        <v>1.7148052823203842E-2</v>
      </c>
      <c r="F10" s="30">
        <f t="shared" ref="F10:K10" ca="1" si="0">(F9-E9)/E9</f>
        <v>3.6855834285544127E-2</v>
      </c>
      <c r="G10" s="30">
        <f t="shared" ca="1" si="0"/>
        <v>3.8489169539791181E-2</v>
      </c>
      <c r="H10" s="30">
        <f t="shared" ca="1" si="0"/>
        <v>4.0119577509611572E-2</v>
      </c>
      <c r="I10" s="30">
        <f t="shared" ca="1" si="0"/>
        <v>4.1747734388904507E-2</v>
      </c>
      <c r="J10" s="30">
        <f t="shared" ca="1" si="0"/>
        <v>4.3374316613265816E-2</v>
      </c>
      <c r="K10" s="31">
        <f t="shared" ca="1" si="0"/>
        <v>4.4999999999999957E-2</v>
      </c>
    </row>
    <row r="11" spans="2:11">
      <c r="B11" s="24" t="s">
        <v>88</v>
      </c>
      <c r="C11" s="97">
        <v>-14355.869000000001</v>
      </c>
      <c r="D11" s="97">
        <v>-14799.938</v>
      </c>
      <c r="E11" s="99">
        <v>-14962.954</v>
      </c>
      <c r="F11" s="99">
        <f ca="1">-Assumptions!F8</f>
        <v>-15463.638170324999</v>
      </c>
      <c r="G11" s="99">
        <f ca="1">-Assumptions!G8</f>
        <v>-15995.597057778938</v>
      </c>
      <c r="H11" s="99">
        <f ca="1">-Assumptions!H8</f>
        <v>-16571.573441680855</v>
      </c>
      <c r="I11" s="99">
        <f ca="1">-Assumptions!I8</f>
        <v>-17194.893536193347</v>
      </c>
      <c r="J11" s="99">
        <f ca="1">-Assumptions!J8</f>
        <v>-17869.233359127087</v>
      </c>
      <c r="K11" s="150">
        <f ca="1">-Assumptions!K8</f>
        <v>-18598.655464846655</v>
      </c>
    </row>
    <row r="12" spans="2:11">
      <c r="B12" s="36" t="s">
        <v>14</v>
      </c>
      <c r="C12" s="280">
        <f>C9+C11</f>
        <v>7740.1010000000006</v>
      </c>
      <c r="D12" s="280">
        <f>D9+D11</f>
        <v>8290.6720000000005</v>
      </c>
      <c r="E12" s="280">
        <f>E9+E11</f>
        <v>8523.6149999999998</v>
      </c>
      <c r="F12" s="281">
        <f t="shared" ref="F12:K12" ca="1" si="1">F9+F11</f>
        <v>8888.5479246749983</v>
      </c>
      <c r="G12" s="281">
        <f t="shared" ca="1" si="1"/>
        <v>9293.88445649606</v>
      </c>
      <c r="H12" s="281">
        <f t="shared" ca="1" si="1"/>
        <v>9732.511386383987</v>
      </c>
      <c r="I12" s="281">
        <f t="shared" ca="1" si="1"/>
        <v>10207.327238616759</v>
      </c>
      <c r="J12" s="281">
        <f t="shared" ca="1" si="1"/>
        <v>10721.540015476243</v>
      </c>
      <c r="K12" s="282">
        <f t="shared" ca="1" si="1"/>
        <v>11278.702711613823</v>
      </c>
    </row>
    <row r="13" spans="2:11">
      <c r="B13" s="14" t="s">
        <v>89</v>
      </c>
      <c r="C13" s="96">
        <v>-5758.2950000000001</v>
      </c>
      <c r="D13" s="84">
        <v>-6167.143</v>
      </c>
      <c r="E13" s="84">
        <v>-6642.9</v>
      </c>
      <c r="F13" s="84">
        <f ca="1">-Assumptions!F14</f>
        <v>-6940.373037074999</v>
      </c>
      <c r="G13" s="151">
        <f ca="1">-Assumptions!G14</f>
        <v>-7144.2785277826861</v>
      </c>
      <c r="H13" s="151">
        <f ca="1">-Assumptions!H14</f>
        <v>-7365.1437518581552</v>
      </c>
      <c r="I13" s="151">
        <f ca="1">-Assumptions!I14</f>
        <v>-7604.116265009804</v>
      </c>
      <c r="J13" s="151">
        <f ca="1">-Assumptions!J14</f>
        <v>-7862.4626780159151</v>
      </c>
      <c r="K13" s="152">
        <f ca="1">-Assumptions!K14</f>
        <v>-8141.5801030854791</v>
      </c>
    </row>
    <row r="14" spans="2:11">
      <c r="B14" s="14" t="s">
        <v>90</v>
      </c>
      <c r="C14" s="96">
        <v>-347.81900000000002</v>
      </c>
      <c r="D14" s="84">
        <v>-350.529</v>
      </c>
      <c r="E14" s="84">
        <v>-407.97800000000001</v>
      </c>
      <c r="F14" s="84">
        <f ca="1">-Assumptions!F20</f>
        <v>-426.16325666249992</v>
      </c>
      <c r="G14" s="151">
        <f ca="1">-Assumptions!G20</f>
        <v>-531.07911179977498</v>
      </c>
      <c r="H14" s="151">
        <f ca="1">-Assumptions!H20</f>
        <v>-644.45007828758867</v>
      </c>
      <c r="I14" s="151">
        <f ca="1">-Assumptions!I20</f>
        <v>-767.26218169468302</v>
      </c>
      <c r="J14" s="151">
        <f ca="1">-Assumptions!J20</f>
        <v>-900.60936130000482</v>
      </c>
      <c r="K14" s="152">
        <f ca="1">-Assumptions!K20</f>
        <v>-1045.7075361761165</v>
      </c>
    </row>
    <row r="15" spans="2:11">
      <c r="B15" s="14" t="s">
        <v>55</v>
      </c>
      <c r="C15" s="96">
        <v>-19.791</v>
      </c>
      <c r="D15" s="84">
        <v>-25.946999999999999</v>
      </c>
      <c r="E15" s="84">
        <v>-30.001000000000001</v>
      </c>
      <c r="F15" s="84">
        <f ca="1">-Assumptions!F26</f>
        <v>-24.352186094999997</v>
      </c>
      <c r="G15" s="84">
        <f ca="1">-Assumptions!G26</f>
        <v>-25.289481514275</v>
      </c>
      <c r="H15" s="84">
        <f ca="1">-Assumptions!H26</f>
        <v>-26.304084828064845</v>
      </c>
      <c r="I15" s="84">
        <f ca="1">-Assumptions!I26</f>
        <v>-27.402220774810107</v>
      </c>
      <c r="J15" s="84">
        <f ca="1">-Assumptions!J26</f>
        <v>-28.59077337460333</v>
      </c>
      <c r="K15" s="152">
        <f ca="1">-Assumptions!K26</f>
        <v>-29.877358176460479</v>
      </c>
    </row>
    <row r="16" spans="2:11">
      <c r="B16" s="14" t="s">
        <v>91</v>
      </c>
      <c r="C16" s="96">
        <v>0</v>
      </c>
      <c r="D16" s="96">
        <v>0</v>
      </c>
      <c r="E16" s="84">
        <v>-213.52</v>
      </c>
      <c r="F16" s="84">
        <f ca="1">-Assumptions!F32</f>
        <v>-170.465302665</v>
      </c>
      <c r="G16" s="6">
        <f ca="1">-Assumptions!G32</f>
        <v>0</v>
      </c>
      <c r="H16" s="6">
        <f ca="1">-Assumptions!H32</f>
        <v>0</v>
      </c>
      <c r="I16" s="6">
        <f ca="1">-Assumptions!I32</f>
        <v>0</v>
      </c>
      <c r="J16" s="6">
        <f ca="1">-Assumptions!J32</f>
        <v>0</v>
      </c>
      <c r="K16" s="94">
        <f ca="1">-Assumptions!K32</f>
        <v>0</v>
      </c>
    </row>
    <row r="17" spans="2:11">
      <c r="B17" s="100" t="s">
        <v>92</v>
      </c>
      <c r="C17" s="283">
        <f>SUM(C13:C16)</f>
        <v>-6125.9050000000007</v>
      </c>
      <c r="D17" s="283">
        <f>SUM(D13:D16)</f>
        <v>-6543.6190000000006</v>
      </c>
      <c r="E17" s="283">
        <f>SUM(E13:E16)</f>
        <v>-7294.3990000000003</v>
      </c>
      <c r="F17" s="283">
        <f t="shared" ref="F17:K17" ca="1" si="2">SUM(F13:F16)</f>
        <v>-7561.3537824975001</v>
      </c>
      <c r="G17" s="283">
        <f t="shared" ca="1" si="2"/>
        <v>-7700.6471210967366</v>
      </c>
      <c r="H17" s="283">
        <f t="shared" ca="1" si="2"/>
        <v>-8035.8979149738088</v>
      </c>
      <c r="I17" s="283">
        <f t="shared" ca="1" si="2"/>
        <v>-8398.7806674792955</v>
      </c>
      <c r="J17" s="283">
        <f t="shared" ca="1" si="2"/>
        <v>-8791.6628126905234</v>
      </c>
      <c r="K17" s="284">
        <f t="shared" ca="1" si="2"/>
        <v>-9217.1649974380562</v>
      </c>
    </row>
    <row r="18" spans="2:11">
      <c r="B18" s="36" t="s">
        <v>93</v>
      </c>
      <c r="C18" s="280">
        <f>C12+C17</f>
        <v>1614.1959999999999</v>
      </c>
      <c r="D18" s="280">
        <f>D12+D17</f>
        <v>1747.0529999999999</v>
      </c>
      <c r="E18" s="280">
        <f>E12+E17</f>
        <v>1229.2159999999994</v>
      </c>
      <c r="F18" s="281">
        <f t="shared" ref="F18:K18" ca="1" si="3">F12+F17</f>
        <v>1327.1941421774982</v>
      </c>
      <c r="G18" s="281">
        <f t="shared" ca="1" si="3"/>
        <v>1593.2373353993235</v>
      </c>
      <c r="H18" s="281">
        <f t="shared" ca="1" si="3"/>
        <v>1696.6134714101781</v>
      </c>
      <c r="I18" s="281">
        <f t="shared" ca="1" si="3"/>
        <v>1808.5465711374636</v>
      </c>
      <c r="J18" s="281">
        <f t="shared" ca="1" si="3"/>
        <v>1929.8772027857194</v>
      </c>
      <c r="K18" s="282">
        <f t="shared" ca="1" si="3"/>
        <v>2061.5377141757672</v>
      </c>
    </row>
    <row r="19" spans="2:11">
      <c r="B19" s="14" t="s">
        <v>94</v>
      </c>
      <c r="C19" s="96">
        <v>-73.887</v>
      </c>
      <c r="D19" s="84">
        <v>-64.468999999999994</v>
      </c>
      <c r="E19" s="84">
        <v>-96.826999999999998</v>
      </c>
      <c r="F19" s="84">
        <f ca="1">-Assumptions!F38</f>
        <v>-97.408744379999987</v>
      </c>
      <c r="G19" s="151">
        <f ca="1">-Assumptions!G38</f>
        <v>-101.1579260571</v>
      </c>
      <c r="H19" s="96">
        <f ca="1">-Assumptions!H38</f>
        <v>-105.21633931225938</v>
      </c>
      <c r="I19" s="151">
        <f ca="1">-Assumptions!I38</f>
        <v>-109.60888309924043</v>
      </c>
      <c r="J19" s="151">
        <f ca="1">-Assumptions!J38</f>
        <v>-114.36309349841332</v>
      </c>
      <c r="K19" s="152">
        <f ca="1">-Assumptions!K38</f>
        <v>-119.50943270584192</v>
      </c>
    </row>
    <row r="20" spans="2:11">
      <c r="B20" s="24" t="s">
        <v>95</v>
      </c>
      <c r="C20" s="97">
        <v>32.29</v>
      </c>
      <c r="D20" s="7">
        <v>59.764000000000003</v>
      </c>
      <c r="E20" s="99">
        <v>43.579000000000001</v>
      </c>
      <c r="F20" s="99">
        <f ca="1">Assumptions!F44</f>
        <v>48.704372189999994</v>
      </c>
      <c r="G20" s="97">
        <f ca="1">Assumptions!G44</f>
        <v>50.57896302855</v>
      </c>
      <c r="H20" s="97">
        <f ca="1">Assumptions!H44</f>
        <v>52.608169656129689</v>
      </c>
      <c r="I20" s="97">
        <f ca="1">Assumptions!I44</f>
        <v>54.804441549620215</v>
      </c>
      <c r="J20" s="97">
        <f ca="1">Assumptions!J44</f>
        <v>57.18154674920666</v>
      </c>
      <c r="K20" s="150">
        <f ca="1">Assumptions!K44</f>
        <v>59.754716352920958</v>
      </c>
    </row>
    <row r="21" spans="2:11">
      <c r="B21" s="36" t="s">
        <v>96</v>
      </c>
      <c r="C21" s="280">
        <f>C19+C20</f>
        <v>-41.597000000000001</v>
      </c>
      <c r="D21" s="280">
        <f>D19+D20</f>
        <v>-4.7049999999999912</v>
      </c>
      <c r="E21" s="280">
        <f>E19+E20</f>
        <v>-53.247999999999998</v>
      </c>
      <c r="F21" s="281">
        <f t="shared" ref="F21:K21" ca="1" si="4">F19+F20</f>
        <v>-48.704372189999994</v>
      </c>
      <c r="G21" s="281">
        <f t="shared" ca="1" si="4"/>
        <v>-50.57896302855</v>
      </c>
      <c r="H21" s="281">
        <f t="shared" ca="1" si="4"/>
        <v>-52.608169656129689</v>
      </c>
      <c r="I21" s="281">
        <f t="shared" ca="1" si="4"/>
        <v>-54.804441549620215</v>
      </c>
      <c r="J21" s="281">
        <f t="shared" ca="1" si="4"/>
        <v>-57.18154674920666</v>
      </c>
      <c r="K21" s="282">
        <f t="shared" ca="1" si="4"/>
        <v>-59.754716352920958</v>
      </c>
    </row>
    <row r="22" spans="2:11">
      <c r="B22" s="36" t="s">
        <v>97</v>
      </c>
      <c r="C22" s="280">
        <f>C18+C21</f>
        <v>1572.5989999999999</v>
      </c>
      <c r="D22" s="280">
        <f>D18+D21</f>
        <v>1742.348</v>
      </c>
      <c r="E22" s="280">
        <f>E18+E21</f>
        <v>1175.9679999999994</v>
      </c>
      <c r="F22" s="281">
        <f t="shared" ref="F22:K22" ca="1" si="5">F18+F21</f>
        <v>1278.4897699874982</v>
      </c>
      <c r="G22" s="281">
        <f t="shared" ca="1" si="5"/>
        <v>1542.6583723707733</v>
      </c>
      <c r="H22" s="281">
        <f t="shared" ca="1" si="5"/>
        <v>1644.0053017540486</v>
      </c>
      <c r="I22" s="281">
        <f t="shared" ca="1" si="5"/>
        <v>1753.7421295878435</v>
      </c>
      <c r="J22" s="281">
        <f t="shared" ca="1" si="5"/>
        <v>1872.6956560365127</v>
      </c>
      <c r="K22" s="282">
        <f t="shared" ca="1" si="5"/>
        <v>2001.7829978228463</v>
      </c>
    </row>
    <row r="23" spans="2:11">
      <c r="B23" s="24" t="s">
        <v>98</v>
      </c>
      <c r="C23" s="97">
        <v>-389.90100000000001</v>
      </c>
      <c r="D23" s="99">
        <v>-425.82400000000001</v>
      </c>
      <c r="E23" s="99">
        <v>-271.892</v>
      </c>
      <c r="F23" s="99">
        <f ca="1">-Assumptions!F50</f>
        <v>-278.71076985727461</v>
      </c>
      <c r="G23" s="97">
        <f ca="1">-Assumptions!G50</f>
        <v>-334.5798404338579</v>
      </c>
      <c r="H23" s="97">
        <f ca="1">-Assumptions!H50</f>
        <v>-356.2888289961374</v>
      </c>
      <c r="I23" s="97">
        <f ca="1">-Assumptions!I50</f>
        <v>-379.79477993886735</v>
      </c>
      <c r="J23" s="97">
        <f ca="1">-Assumptions!J50</f>
        <v>-405.27421258500107</v>
      </c>
      <c r="K23" s="150">
        <f ca="1">-Assumptions!K50</f>
        <v>-432.92291997691109</v>
      </c>
    </row>
    <row r="24" spans="2:11" ht="20" thickBot="1">
      <c r="B24" s="101" t="s">
        <v>99</v>
      </c>
      <c r="C24" s="285">
        <f>C22+C23</f>
        <v>1182.6979999999999</v>
      </c>
      <c r="D24" s="285">
        <f>D22+D23</f>
        <v>1316.5239999999999</v>
      </c>
      <c r="E24" s="285">
        <f>E22+E23</f>
        <v>904.07599999999934</v>
      </c>
      <c r="F24" s="285">
        <f t="shared" ref="F24:K24" ca="1" si="6">F22+F23</f>
        <v>999.77900013022361</v>
      </c>
      <c r="G24" s="285">
        <f t="shared" ca="1" si="6"/>
        <v>1208.0785319369154</v>
      </c>
      <c r="H24" s="285">
        <f t="shared" ca="1" si="6"/>
        <v>1287.7164727579111</v>
      </c>
      <c r="I24" s="285">
        <f t="shared" ca="1" si="6"/>
        <v>1373.9473496489761</v>
      </c>
      <c r="J24" s="285">
        <f t="shared" ca="1" si="6"/>
        <v>1467.4214434515115</v>
      </c>
      <c r="K24" s="286">
        <f t="shared" ca="1" si="6"/>
        <v>1568.8600778459352</v>
      </c>
    </row>
    <row r="25" spans="2:11" ht="18" thickTop="1" thickBot="1">
      <c r="B25" s="91"/>
      <c r="C25" s="75"/>
      <c r="D25" s="75"/>
      <c r="E25" s="75"/>
      <c r="F25" s="75"/>
      <c r="G25" s="75"/>
      <c r="H25" s="75"/>
      <c r="I25" s="75"/>
      <c r="J25" s="75"/>
      <c r="K25" s="92"/>
    </row>
    <row r="26" spans="2:11" ht="17" thickBot="1"/>
    <row r="27" spans="2:11" ht="25" thickBot="1">
      <c r="B27" s="88" t="s">
        <v>100</v>
      </c>
      <c r="C27" s="9"/>
      <c r="D27" s="9"/>
      <c r="E27" s="10"/>
    </row>
    <row r="28" spans="2:11">
      <c r="B28" s="12" t="s">
        <v>101</v>
      </c>
      <c r="C28" s="13"/>
      <c r="D28" s="13"/>
      <c r="E28" s="93"/>
    </row>
    <row r="29" spans="2:11">
      <c r="B29" s="14" t="s">
        <v>102</v>
      </c>
      <c r="C29" s="6"/>
      <c r="D29" s="6"/>
      <c r="E29" s="94"/>
    </row>
    <row r="30" spans="2:11">
      <c r="B30" s="14" t="s">
        <v>103</v>
      </c>
      <c r="C30" s="84">
        <v>653.46299999999997</v>
      </c>
      <c r="D30" s="84">
        <v>1102.0070000000001</v>
      </c>
      <c r="E30" s="105">
        <v>479.99099999999999</v>
      </c>
    </row>
    <row r="31" spans="2:11">
      <c r="B31" s="14" t="s">
        <v>104</v>
      </c>
      <c r="C31" s="84">
        <v>2188.8679999999999</v>
      </c>
      <c r="D31" s="84">
        <v>2223.431</v>
      </c>
      <c r="E31" s="105">
        <v>2182.8560000000002</v>
      </c>
    </row>
    <row r="32" spans="2:11">
      <c r="B32" s="14" t="s">
        <v>105</v>
      </c>
      <c r="C32" s="84">
        <v>4441.6490000000003</v>
      </c>
      <c r="D32" s="84">
        <v>4676.6859999999997</v>
      </c>
      <c r="E32" s="105">
        <v>5514.4269999999997</v>
      </c>
    </row>
    <row r="33" spans="2:5">
      <c r="B33" s="24" t="s">
        <v>106</v>
      </c>
      <c r="C33" s="99">
        <v>1532.759</v>
      </c>
      <c r="D33" s="99">
        <v>1603.7280000000001</v>
      </c>
      <c r="E33" s="106">
        <v>1675.31</v>
      </c>
    </row>
    <row r="34" spans="2:5">
      <c r="B34" s="36" t="s">
        <v>107</v>
      </c>
      <c r="C34" s="219">
        <f>SUM(C30:C33)</f>
        <v>8816.7390000000014</v>
      </c>
      <c r="D34" s="219">
        <f>SUM(D30:D33)</f>
        <v>9605.851999999999</v>
      </c>
      <c r="E34" s="220">
        <f>SUM(E30:E33)</f>
        <v>9852.5839999999989</v>
      </c>
    </row>
    <row r="35" spans="2:5">
      <c r="B35" s="14" t="s">
        <v>108</v>
      </c>
      <c r="C35" s="84">
        <v>2588.1129999999998</v>
      </c>
      <c r="D35" s="84">
        <v>2734.681</v>
      </c>
      <c r="E35" s="105">
        <v>2897.27</v>
      </c>
    </row>
    <row r="36" spans="2:5">
      <c r="B36" s="14" t="s">
        <v>109</v>
      </c>
      <c r="C36" s="84">
        <v>1812.51</v>
      </c>
      <c r="D36" s="84">
        <v>1792.913</v>
      </c>
      <c r="E36" s="105">
        <v>1799.0309999999999</v>
      </c>
    </row>
    <row r="37" spans="2:5">
      <c r="B37" s="14" t="s">
        <v>110</v>
      </c>
      <c r="C37" s="84">
        <v>1326.0139999999999</v>
      </c>
      <c r="D37" s="84">
        <v>1616.7850000000001</v>
      </c>
      <c r="E37" s="105">
        <v>1950.76</v>
      </c>
    </row>
    <row r="38" spans="2:5">
      <c r="B38" s="14" t="s">
        <v>111</v>
      </c>
      <c r="C38" s="84">
        <v>1104.6780000000001</v>
      </c>
      <c r="D38" s="84">
        <v>1268.742</v>
      </c>
      <c r="E38" s="105">
        <v>1769.72</v>
      </c>
    </row>
    <row r="39" spans="2:5">
      <c r="B39" s="14" t="s">
        <v>112</v>
      </c>
      <c r="C39" s="84">
        <v>847.32500000000005</v>
      </c>
      <c r="D39" s="84">
        <v>949.48099999999999</v>
      </c>
      <c r="E39" s="105">
        <v>1013.34</v>
      </c>
    </row>
    <row r="40" spans="2:5" ht="17" thickBot="1">
      <c r="B40" s="108" t="s">
        <v>113</v>
      </c>
      <c r="C40" s="287">
        <f>SUM(C34:C39)</f>
        <v>16495.379000000001</v>
      </c>
      <c r="D40" s="287">
        <f>SUM(D34:D39)</f>
        <v>17968.453999999998</v>
      </c>
      <c r="E40" s="288">
        <f>SUM(E34:E39)</f>
        <v>19282.704999999998</v>
      </c>
    </row>
    <row r="41" spans="2:5" ht="17" thickTop="1">
      <c r="B41" s="14"/>
      <c r="C41" s="84"/>
      <c r="D41" s="84"/>
      <c r="E41" s="105"/>
    </row>
    <row r="42" spans="2:5">
      <c r="B42" s="36" t="s">
        <v>114</v>
      </c>
      <c r="C42" s="84"/>
      <c r="D42" s="84"/>
      <c r="E42" s="105"/>
    </row>
    <row r="43" spans="2:5">
      <c r="B43" s="14" t="s">
        <v>115</v>
      </c>
      <c r="C43" s="84"/>
      <c r="D43" s="84"/>
      <c r="E43" s="105"/>
    </row>
    <row r="44" spans="2:5">
      <c r="B44" s="14" t="s">
        <v>116</v>
      </c>
      <c r="C44" s="84">
        <v>5456.55</v>
      </c>
      <c r="D44" s="84">
        <v>5499.5360000000001</v>
      </c>
      <c r="E44" s="105">
        <v>5923.6840000000002</v>
      </c>
    </row>
    <row r="45" spans="2:5">
      <c r="B45" s="14" t="s">
        <v>117</v>
      </c>
      <c r="C45" s="84">
        <v>252.029</v>
      </c>
      <c r="D45" s="84">
        <v>355.298</v>
      </c>
      <c r="E45" s="105">
        <v>541.70500000000004</v>
      </c>
    </row>
    <row r="46" spans="2:5">
      <c r="B46" s="14" t="s">
        <v>118</v>
      </c>
      <c r="C46" s="84">
        <v>1851.34</v>
      </c>
      <c r="D46" s="84">
        <v>1839.64</v>
      </c>
      <c r="E46" s="105">
        <v>1925.636</v>
      </c>
    </row>
    <row r="47" spans="2:5">
      <c r="B47" s="24" t="s">
        <v>119</v>
      </c>
      <c r="C47" s="99">
        <v>126.191</v>
      </c>
      <c r="D47" s="99">
        <v>132.63499999999999</v>
      </c>
      <c r="E47" s="106">
        <v>134.35499999999999</v>
      </c>
    </row>
    <row r="48" spans="2:5">
      <c r="B48" s="36" t="s">
        <v>120</v>
      </c>
      <c r="C48" s="219">
        <f>SUM(C44:C47)</f>
        <v>7686.11</v>
      </c>
      <c r="D48" s="219">
        <f>SUM(D44:D47)</f>
        <v>7827.1090000000004</v>
      </c>
      <c r="E48" s="220">
        <f>SUM(E44:E47)</f>
        <v>8525.3799999999992</v>
      </c>
    </row>
    <row r="49" spans="2:5">
      <c r="B49" s="14" t="s">
        <v>121</v>
      </c>
      <c r="C49" s="84">
        <v>3076.7939999999999</v>
      </c>
      <c r="D49" s="84">
        <v>3550.93</v>
      </c>
      <c r="E49" s="105">
        <v>3742.64</v>
      </c>
    </row>
    <row r="50" spans="2:5">
      <c r="B50" s="14" t="s">
        <v>122</v>
      </c>
      <c r="C50" s="84">
        <v>836.01900000000001</v>
      </c>
      <c r="D50" s="84">
        <v>979.93799999999999</v>
      </c>
      <c r="E50" s="105">
        <v>1458.3910000000001</v>
      </c>
    </row>
    <row r="51" spans="2:5">
      <c r="B51" s="14" t="s">
        <v>123</v>
      </c>
      <c r="C51" s="84">
        <v>197.87899999999999</v>
      </c>
      <c r="D51" s="84">
        <v>219.64400000000001</v>
      </c>
      <c r="E51" s="105">
        <v>218.62899999999999</v>
      </c>
    </row>
    <row r="52" spans="2:5">
      <c r="B52" s="14" t="s">
        <v>124</v>
      </c>
      <c r="C52" s="84">
        <v>391.16300000000001</v>
      </c>
      <c r="D52" s="84">
        <v>437.67399999999998</v>
      </c>
      <c r="E52" s="105">
        <v>441.70499999999998</v>
      </c>
    </row>
    <row r="53" spans="2:5">
      <c r="B53" s="14" t="s">
        <v>125</v>
      </c>
      <c r="C53" s="84">
        <v>502.96699999999998</v>
      </c>
      <c r="D53" s="84">
        <v>536.17399999999998</v>
      </c>
      <c r="E53" s="105">
        <v>544.10900000000004</v>
      </c>
    </row>
    <row r="54" spans="2:5">
      <c r="B54" s="36" t="s">
        <v>126</v>
      </c>
      <c r="C54" s="84"/>
      <c r="D54" s="84"/>
      <c r="E54" s="105"/>
    </row>
    <row r="55" spans="2:5">
      <c r="B55" s="14" t="s">
        <v>127</v>
      </c>
      <c r="C55" s="84">
        <v>140.941</v>
      </c>
      <c r="D55" s="84">
        <v>139.56700000000001</v>
      </c>
      <c r="E55" s="105">
        <v>138.78</v>
      </c>
    </row>
    <row r="56" spans="2:5">
      <c r="B56" s="14" t="s">
        <v>128</v>
      </c>
      <c r="C56" s="84">
        <v>140.32400000000001</v>
      </c>
      <c r="D56" s="84">
        <v>173.02500000000001</v>
      </c>
      <c r="E56" s="105">
        <v>196.53200000000001</v>
      </c>
    </row>
    <row r="57" spans="2:5">
      <c r="B57" s="14" t="s">
        <v>129</v>
      </c>
      <c r="C57" s="84">
        <v>-1032.5419999999999</v>
      </c>
      <c r="D57" s="84">
        <v>-976.87199999999996</v>
      </c>
      <c r="E57" s="105">
        <v>-1261.7429999999999</v>
      </c>
    </row>
    <row r="58" spans="2:5">
      <c r="B58" s="24" t="s">
        <v>130</v>
      </c>
      <c r="C58" s="99">
        <v>4541.6400000000003</v>
      </c>
      <c r="D58" s="99">
        <v>5065.3270000000002</v>
      </c>
      <c r="E58" s="106">
        <v>5263.8379999999997</v>
      </c>
    </row>
    <row r="59" spans="2:5">
      <c r="B59" s="36" t="s">
        <v>131</v>
      </c>
      <c r="C59" s="219">
        <f>SUM(C55:C58)</f>
        <v>3790.3630000000003</v>
      </c>
      <c r="D59" s="219">
        <f>SUM(D55:D58)</f>
        <v>4401.0470000000005</v>
      </c>
      <c r="E59" s="220">
        <f>SUM(E55:E58)</f>
        <v>4337.4070000000002</v>
      </c>
    </row>
    <row r="60" spans="2:5">
      <c r="B60" s="24" t="s">
        <v>132</v>
      </c>
      <c r="C60" s="99">
        <v>14.084</v>
      </c>
      <c r="D60" s="99">
        <v>15.938000000000001</v>
      </c>
      <c r="E60" s="106">
        <v>14.444000000000001</v>
      </c>
    </row>
    <row r="61" spans="2:5">
      <c r="B61" s="100" t="s">
        <v>133</v>
      </c>
      <c r="C61" s="289">
        <f>C59+C60</f>
        <v>3804.4470000000001</v>
      </c>
      <c r="D61" s="289">
        <f>D59+D60</f>
        <v>4416.9850000000006</v>
      </c>
      <c r="E61" s="290">
        <f>E59+E60</f>
        <v>4351.8510000000006</v>
      </c>
    </row>
    <row r="62" spans="2:5" ht="17" thickBot="1">
      <c r="B62" s="101" t="s">
        <v>134</v>
      </c>
      <c r="C62" s="291">
        <f>SUM(C61,C48:C53)</f>
        <v>16495.379000000001</v>
      </c>
      <c r="D62" s="291">
        <f>SUM(D61,D48:D53)</f>
        <v>17968.453999999998</v>
      </c>
      <c r="E62" s="292">
        <f>SUM(E61,E48:E53)</f>
        <v>19282.705000000002</v>
      </c>
    </row>
    <row r="63" spans="2:5" ht="18" thickTop="1" thickBot="1">
      <c r="B63" s="20" t="s">
        <v>135</v>
      </c>
      <c r="C63" s="21">
        <f>C40-C62</f>
        <v>0</v>
      </c>
      <c r="D63" s="21">
        <f>D40-D62</f>
        <v>0</v>
      </c>
      <c r="E63" s="107">
        <f>E40-E62</f>
        <v>0</v>
      </c>
    </row>
    <row r="64" spans="2:5" ht="17" thickBot="1">
      <c r="B64" s="6"/>
      <c r="C64" s="6"/>
      <c r="D64" s="6"/>
      <c r="E64" s="6"/>
    </row>
    <row r="65" spans="2:5" ht="25" thickBot="1">
      <c r="B65" s="88" t="s">
        <v>136</v>
      </c>
      <c r="C65" s="9"/>
      <c r="D65" s="9"/>
      <c r="E65" s="10"/>
    </row>
    <row r="66" spans="2:5">
      <c r="B66" s="12" t="s">
        <v>137</v>
      </c>
      <c r="C66" s="13"/>
      <c r="D66" s="13"/>
      <c r="E66" s="93"/>
    </row>
    <row r="67" spans="2:5">
      <c r="B67" s="36" t="s">
        <v>99</v>
      </c>
      <c r="C67" s="280">
        <f>C24</f>
        <v>1182.6979999999999</v>
      </c>
      <c r="D67" s="219">
        <f t="shared" ref="D67:E67" si="7">D24</f>
        <v>1316.5239999999999</v>
      </c>
      <c r="E67" s="220">
        <f t="shared" si="7"/>
        <v>904.07599999999934</v>
      </c>
    </row>
    <row r="68" spans="2:5">
      <c r="B68" s="14" t="s">
        <v>138</v>
      </c>
      <c r="C68" s="6"/>
      <c r="D68" s="6"/>
      <c r="E68" s="94"/>
    </row>
    <row r="69" spans="2:5">
      <c r="B69" s="14" t="s">
        <v>90</v>
      </c>
      <c r="C69" s="110">
        <v>347.81900000000002</v>
      </c>
      <c r="D69" s="110">
        <v>350.529</v>
      </c>
      <c r="E69" s="111">
        <v>407.97800000000001</v>
      </c>
    </row>
    <row r="70" spans="2:5">
      <c r="B70" s="14" t="s">
        <v>139</v>
      </c>
      <c r="C70" s="110">
        <v>2.2200000000000002</v>
      </c>
      <c r="D70" s="110">
        <v>42.113999999999997</v>
      </c>
      <c r="E70" s="111">
        <v>-18.597999999999999</v>
      </c>
    </row>
    <row r="71" spans="2:5">
      <c r="B71" s="14" t="s">
        <v>140</v>
      </c>
      <c r="C71" s="110">
        <v>38.058</v>
      </c>
      <c r="D71" s="110">
        <v>57.225999999999999</v>
      </c>
      <c r="E71" s="111">
        <v>40.692999999999998</v>
      </c>
    </row>
    <row r="72" spans="2:5">
      <c r="B72" s="14" t="s">
        <v>141</v>
      </c>
      <c r="C72" s="110">
        <v>-102.803</v>
      </c>
      <c r="D72" s="110">
        <v>0</v>
      </c>
      <c r="E72" s="111">
        <v>-43.048999999999999</v>
      </c>
    </row>
    <row r="73" spans="2:5">
      <c r="B73" s="14" t="s">
        <v>142</v>
      </c>
      <c r="C73" s="110">
        <v>18.376999999999999</v>
      </c>
      <c r="D73" s="110">
        <v>-41.625999999999998</v>
      </c>
      <c r="E73" s="111">
        <v>47.472999999999999</v>
      </c>
    </row>
    <row r="74" spans="2:5">
      <c r="B74" s="14" t="s">
        <v>143</v>
      </c>
      <c r="C74" s="110"/>
      <c r="D74" s="110"/>
      <c r="E74" s="111"/>
    </row>
    <row r="75" spans="2:5">
      <c r="B75" s="14" t="s">
        <v>104</v>
      </c>
      <c r="C75" s="110">
        <v>-244.37100000000001</v>
      </c>
      <c r="D75" s="110">
        <v>31.989000000000001</v>
      </c>
      <c r="E75" s="111">
        <v>-50.939</v>
      </c>
    </row>
    <row r="76" spans="2:5">
      <c r="B76" s="14" t="s">
        <v>105</v>
      </c>
      <c r="C76" s="110">
        <v>-380.42</v>
      </c>
      <c r="D76" s="110">
        <v>-69.147999999999996</v>
      </c>
      <c r="E76" s="111">
        <v>-440.54899999999998</v>
      </c>
    </row>
    <row r="77" spans="2:5">
      <c r="B77" s="14" t="s">
        <v>116</v>
      </c>
      <c r="C77" s="110">
        <v>676.40599999999995</v>
      </c>
      <c r="D77" s="110">
        <v>2.0379999999999998</v>
      </c>
      <c r="E77" s="111">
        <v>512.34699999999998</v>
      </c>
    </row>
    <row r="78" spans="2:5">
      <c r="B78" s="14" t="s">
        <v>144</v>
      </c>
      <c r="C78" s="110">
        <v>370.476</v>
      </c>
      <c r="D78" s="110">
        <v>344.58</v>
      </c>
      <c r="E78" s="111">
        <v>634.44799999999998</v>
      </c>
    </row>
    <row r="79" spans="2:5">
      <c r="B79" s="14" t="s">
        <v>145</v>
      </c>
      <c r="C79" s="110">
        <v>-19.948</v>
      </c>
      <c r="D79" s="110">
        <v>-168.74199999999999</v>
      </c>
      <c r="E79" s="111">
        <v>-122.864</v>
      </c>
    </row>
    <row r="80" spans="2:5">
      <c r="B80" s="14" t="s">
        <v>146</v>
      </c>
      <c r="C80" s="110">
        <v>-372.733</v>
      </c>
      <c r="D80" s="110">
        <v>-355.33499999999998</v>
      </c>
      <c r="E80" s="111">
        <v>-662.64099999999996</v>
      </c>
    </row>
    <row r="81" spans="2:5">
      <c r="B81" s="24" t="s">
        <v>147</v>
      </c>
      <c r="C81" s="109">
        <v>-48.811</v>
      </c>
      <c r="D81" s="109">
        <v>-74.539000000000001</v>
      </c>
      <c r="E81" s="112">
        <v>42.875999999999998</v>
      </c>
    </row>
    <row r="82" spans="2:5">
      <c r="B82" s="36" t="s">
        <v>148</v>
      </c>
      <c r="C82" s="219">
        <f>SUM(C67:C81)</f>
        <v>1466.9679999999996</v>
      </c>
      <c r="D82" s="219">
        <f>SUM(D67:D81)</f>
        <v>1435.6100000000001</v>
      </c>
      <c r="E82" s="220">
        <f>SUM(E67:E81)</f>
        <v>1251.2509999999991</v>
      </c>
    </row>
    <row r="83" spans="2:5">
      <c r="B83" s="14"/>
      <c r="C83" s="84"/>
      <c r="D83" s="84"/>
      <c r="E83" s="105"/>
    </row>
    <row r="84" spans="2:5">
      <c r="B84" s="36" t="s">
        <v>149</v>
      </c>
      <c r="C84" s="84"/>
      <c r="D84" s="84"/>
      <c r="E84" s="105"/>
    </row>
    <row r="85" spans="2:5">
      <c r="B85" s="14" t="s">
        <v>150</v>
      </c>
      <c r="C85" s="84">
        <v>-339.63200000000001</v>
      </c>
      <c r="D85" s="84">
        <v>-512.67499999999995</v>
      </c>
      <c r="E85" s="105">
        <v>-567.33900000000006</v>
      </c>
    </row>
    <row r="86" spans="2:5">
      <c r="B86" s="14" t="s">
        <v>151</v>
      </c>
      <c r="C86" s="84">
        <v>145.00700000000001</v>
      </c>
      <c r="D86" s="84">
        <v>25.099</v>
      </c>
      <c r="E86" s="105">
        <v>122.432</v>
      </c>
    </row>
    <row r="87" spans="2:5">
      <c r="B87" s="14" t="s">
        <v>152</v>
      </c>
      <c r="C87" s="84">
        <v>-1690.2080000000001</v>
      </c>
      <c r="D87" s="84">
        <v>-306.88099999999997</v>
      </c>
      <c r="E87" s="105">
        <v>-1080.2380000000001</v>
      </c>
    </row>
    <row r="88" spans="2:5">
      <c r="B88" s="14" t="s">
        <v>153</v>
      </c>
      <c r="C88" s="84">
        <v>33.603999999999999</v>
      </c>
      <c r="D88" s="84">
        <v>10.754</v>
      </c>
      <c r="E88" s="105">
        <v>1.631</v>
      </c>
    </row>
    <row r="89" spans="2:5">
      <c r="B89" s="14" t="s">
        <v>154</v>
      </c>
      <c r="C89" s="84">
        <v>0</v>
      </c>
      <c r="D89" s="84">
        <v>80.481999999999999</v>
      </c>
      <c r="E89" s="105">
        <v>0</v>
      </c>
    </row>
    <row r="90" spans="2:5">
      <c r="B90" s="14" t="s">
        <v>155</v>
      </c>
      <c r="C90" s="84">
        <v>158.441</v>
      </c>
      <c r="D90" s="84">
        <v>0</v>
      </c>
      <c r="E90" s="105">
        <v>15.99</v>
      </c>
    </row>
    <row r="91" spans="2:5">
      <c r="B91" s="24" t="s">
        <v>156</v>
      </c>
      <c r="C91" s="99">
        <v>8.548</v>
      </c>
      <c r="D91" s="99">
        <v>-2.5710000000000002</v>
      </c>
      <c r="E91" s="106">
        <v>0</v>
      </c>
    </row>
    <row r="92" spans="2:5">
      <c r="B92" s="36" t="s">
        <v>157</v>
      </c>
      <c r="C92" s="219">
        <f>SUM(C85:C91)</f>
        <v>-1684.24</v>
      </c>
      <c r="D92" s="219">
        <f>SUM(D85:D91)</f>
        <v>-705.79199999999992</v>
      </c>
      <c r="E92" s="220">
        <f>SUM(E85:E91)</f>
        <v>-1507.5239999999999</v>
      </c>
    </row>
    <row r="93" spans="2:5">
      <c r="B93" s="14"/>
      <c r="C93" s="84"/>
      <c r="D93" s="84"/>
      <c r="E93" s="105"/>
    </row>
    <row r="94" spans="2:5">
      <c r="B94" s="36" t="s">
        <v>158</v>
      </c>
      <c r="C94" s="84"/>
      <c r="D94" s="84"/>
      <c r="E94" s="105"/>
    </row>
    <row r="95" spans="2:5">
      <c r="B95" s="14" t="s">
        <v>159</v>
      </c>
      <c r="C95" s="84">
        <v>5108.6409999999996</v>
      </c>
      <c r="D95" s="84">
        <v>3769.1320000000001</v>
      </c>
      <c r="E95" s="105">
        <v>895.29899999999998</v>
      </c>
    </row>
    <row r="96" spans="2:5">
      <c r="B96" s="14" t="s">
        <v>160</v>
      </c>
      <c r="C96" s="84">
        <v>-4147.7730000000001</v>
      </c>
      <c r="D96" s="84">
        <v>-3237.9589999999998</v>
      </c>
      <c r="E96" s="105">
        <v>-496.15600000000001</v>
      </c>
    </row>
    <row r="97" spans="2:5">
      <c r="B97" s="14" t="s">
        <v>161</v>
      </c>
      <c r="C97" s="84">
        <v>-17.376999999999999</v>
      </c>
      <c r="D97" s="84">
        <v>-24.145</v>
      </c>
      <c r="E97" s="105">
        <v>-16.888000000000002</v>
      </c>
    </row>
    <row r="98" spans="2:5">
      <c r="B98" s="14" t="s">
        <v>162</v>
      </c>
      <c r="C98" s="84">
        <v>-495.91699999999997</v>
      </c>
      <c r="D98" s="84">
        <v>-526.67399999999998</v>
      </c>
      <c r="E98" s="105">
        <v>-554.93100000000004</v>
      </c>
    </row>
    <row r="99" spans="2:5">
      <c r="B99" s="14" t="s">
        <v>163</v>
      </c>
      <c r="C99" s="84">
        <v>-222.726</v>
      </c>
      <c r="D99" s="84">
        <v>-261.47300000000001</v>
      </c>
      <c r="E99" s="105">
        <v>-149.999</v>
      </c>
    </row>
    <row r="100" spans="2:5">
      <c r="B100" s="24" t="s">
        <v>164</v>
      </c>
      <c r="C100" s="99">
        <v>-19.747</v>
      </c>
      <c r="D100" s="99">
        <v>-11.042</v>
      </c>
      <c r="E100" s="106">
        <v>-11.260999999999999</v>
      </c>
    </row>
    <row r="101" spans="2:5">
      <c r="B101" s="36" t="s">
        <v>165</v>
      </c>
      <c r="C101" s="219">
        <f>SUM(C95:C100)</f>
        <v>205.10099999999954</v>
      </c>
      <c r="D101" s="219">
        <f>SUM(D95:D100)</f>
        <v>-292.16099999999972</v>
      </c>
      <c r="E101" s="220">
        <f>SUM(E95:E100)</f>
        <v>-333.93600000000009</v>
      </c>
    </row>
    <row r="102" spans="2:5">
      <c r="B102" s="14"/>
      <c r="C102" s="84"/>
      <c r="D102" s="84"/>
      <c r="E102" s="105"/>
    </row>
    <row r="103" spans="2:5">
      <c r="B103" s="24" t="s">
        <v>169</v>
      </c>
      <c r="C103" s="99">
        <v>-49.07</v>
      </c>
      <c r="D103" s="99">
        <v>10.887</v>
      </c>
      <c r="E103" s="106">
        <v>-31.806999999999999</v>
      </c>
    </row>
    <row r="104" spans="2:5">
      <c r="B104" s="36" t="s">
        <v>166</v>
      </c>
      <c r="C104" s="219">
        <f>C82+C92+C101+C103</f>
        <v>-61.241000000000845</v>
      </c>
      <c r="D104" s="219">
        <f>D82+D92+D101+D103</f>
        <v>448.54400000000049</v>
      </c>
      <c r="E104" s="220">
        <f>E82+E92+E101+E103</f>
        <v>-622.01600000000099</v>
      </c>
    </row>
    <row r="105" spans="2:5">
      <c r="B105" s="24" t="s">
        <v>167</v>
      </c>
      <c r="C105" s="99">
        <v>714.70100000000002</v>
      </c>
      <c r="D105" s="289">
        <f>C106</f>
        <v>653.45999999999913</v>
      </c>
      <c r="E105" s="290">
        <f>D106</f>
        <v>1102.0039999999997</v>
      </c>
    </row>
    <row r="106" spans="2:5" ht="17" thickBot="1">
      <c r="B106" s="20" t="s">
        <v>168</v>
      </c>
      <c r="C106" s="293">
        <f>C104+C105</f>
        <v>653.45999999999913</v>
      </c>
      <c r="D106" s="293">
        <f>D104+D105</f>
        <v>1102.0039999999997</v>
      </c>
      <c r="E106" s="294">
        <f>E104+E105</f>
        <v>479.98799999999869</v>
      </c>
    </row>
    <row r="107" spans="2:5"/>
    <row r="108" spans="2:5"/>
  </sheetData>
  <mergeCells count="1">
    <mergeCell ref="F3:K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DA48-E9BD-4C4C-8F61-6C41A6530E3D}">
  <dimension ref="A1:L54"/>
  <sheetViews>
    <sheetView showGridLines="0" workbookViewId="0">
      <pane ySplit="5" topLeftCell="A9" activePane="bottomLeft" state="frozen"/>
      <selection pane="bottomLeft" activeCell="C2" sqref="C2"/>
    </sheetView>
  </sheetViews>
  <sheetFormatPr baseColWidth="10" defaultColWidth="0" defaultRowHeight="16" zeroHeight="1"/>
  <cols>
    <col min="1" max="1" width="4.33203125" customWidth="1"/>
    <col min="2" max="2" width="40.83203125" customWidth="1"/>
    <col min="3" max="11" width="12.83203125" customWidth="1"/>
    <col min="12" max="12" width="10.83203125" customWidth="1"/>
    <col min="13" max="16384" width="10.83203125" hidden="1"/>
  </cols>
  <sheetData>
    <row r="1" spans="2:11"/>
    <row r="2" spans="2:11">
      <c r="B2" s="37" t="s">
        <v>172</v>
      </c>
      <c r="C2" s="37">
        <f>Summary!C2</f>
        <v>1</v>
      </c>
      <c r="D2" s="117"/>
    </row>
    <row r="3" spans="2:11">
      <c r="B3" s="116" t="s">
        <v>3</v>
      </c>
      <c r="C3" s="37"/>
      <c r="D3" s="37"/>
      <c r="E3" s="37"/>
      <c r="F3" s="266" t="s">
        <v>87</v>
      </c>
      <c r="G3" s="266"/>
      <c r="H3" s="266"/>
      <c r="I3" s="266"/>
      <c r="J3" s="266"/>
      <c r="K3" s="26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 ht="17" thickBot="1"/>
    <row r="7" spans="2:11" ht="16" customHeight="1" thickBot="1">
      <c r="B7" s="65" t="s">
        <v>11</v>
      </c>
      <c r="C7" s="124">
        <f>C10+C16</f>
        <v>22095.972999999998</v>
      </c>
      <c r="D7" s="124">
        <f t="shared" ref="D7:K7" si="0">D10+D16</f>
        <v>23090.61</v>
      </c>
      <c r="E7" s="124">
        <f t="shared" si="0"/>
        <v>23486.569</v>
      </c>
      <c r="F7" s="124">
        <f t="shared" ca="1" si="0"/>
        <v>24352.186094999997</v>
      </c>
      <c r="G7" s="124">
        <f t="shared" ca="1" si="0"/>
        <v>25289.481514274998</v>
      </c>
      <c r="H7" s="124">
        <f t="shared" ca="1" si="0"/>
        <v>26304.084828064842</v>
      </c>
      <c r="I7" s="124">
        <f t="shared" ca="1" si="0"/>
        <v>27402.220774810106</v>
      </c>
      <c r="J7" s="124">
        <f t="shared" ca="1" si="0"/>
        <v>28590.77337460333</v>
      </c>
      <c r="K7" s="127">
        <f t="shared" ca="1" si="0"/>
        <v>29877.358176460479</v>
      </c>
    </row>
    <row r="8" spans="2:11" ht="17" thickBot="1">
      <c r="B8" s="118" t="s">
        <v>12</v>
      </c>
      <c r="C8" s="120"/>
      <c r="D8" s="123">
        <f>(D7-C7)/C7</f>
        <v>4.5014401492978043E-2</v>
      </c>
      <c r="E8" s="123">
        <f>(E7-D7)/D7</f>
        <v>1.7148052823203842E-2</v>
      </c>
      <c r="F8" s="123">
        <f t="shared" ref="F8:I8" ca="1" si="1">(F7-E7)/E7</f>
        <v>3.6855834285544127E-2</v>
      </c>
      <c r="G8" s="123">
        <f t="shared" ca="1" si="1"/>
        <v>3.8489169539791181E-2</v>
      </c>
      <c r="H8" s="123">
        <f t="shared" ca="1" si="1"/>
        <v>4.0119577509611572E-2</v>
      </c>
      <c r="I8" s="123">
        <f t="shared" ca="1" si="1"/>
        <v>4.1747734388904507E-2</v>
      </c>
      <c r="J8" s="123">
        <f ca="1">(J7-I7)/I7</f>
        <v>4.3374316613265816E-2</v>
      </c>
      <c r="K8" s="128">
        <f ca="1">(K7-J7)/J7</f>
        <v>4.4999999999999957E-2</v>
      </c>
    </row>
    <row r="9" spans="2:11" ht="17" thickBot="1">
      <c r="C9" s="6"/>
      <c r="D9" s="6"/>
      <c r="E9" s="6"/>
      <c r="F9" s="144"/>
      <c r="G9" s="144"/>
      <c r="H9" s="144"/>
      <c r="I9" s="144"/>
      <c r="J9" s="144"/>
      <c r="K9" s="144"/>
    </row>
    <row r="10" spans="2:11" ht="17" thickBot="1">
      <c r="B10" s="119" t="s">
        <v>170</v>
      </c>
      <c r="C10" s="121">
        <v>13666.634</v>
      </c>
      <c r="D10" s="121">
        <v>14246.782999999999</v>
      </c>
      <c r="E10" s="121">
        <v>14769.133</v>
      </c>
      <c r="F10" s="125">
        <f ca="1">E10*(1+F11)</f>
        <v>15286.052655</v>
      </c>
      <c r="G10" s="125">
        <f t="shared" ref="G10:K10" ca="1" si="2">F10*(1+G11)</f>
        <v>15851.636603234998</v>
      </c>
      <c r="H10" s="125">
        <f t="shared" ca="1" si="2"/>
        <v>16469.850430761162</v>
      </c>
      <c r="I10" s="125">
        <f t="shared" ca="1" si="2"/>
        <v>17145.11429842237</v>
      </c>
      <c r="J10" s="125">
        <f t="shared" ca="1" si="2"/>
        <v>17882.35421325453</v>
      </c>
      <c r="K10" s="126">
        <f t="shared" ca="1" si="2"/>
        <v>18687.060152850983</v>
      </c>
    </row>
    <row r="11" spans="2:11">
      <c r="B11" s="122" t="s">
        <v>12</v>
      </c>
      <c r="C11" s="13"/>
      <c r="D11" s="129">
        <f>(D10-C10)/C10</f>
        <v>4.245002829518954E-2</v>
      </c>
      <c r="E11" s="129">
        <f>(E10-D10)/D10</f>
        <v>3.6664417503937584E-2</v>
      </c>
      <c r="F11" s="129">
        <f ca="1">OFFSET(F11, $C$2,0)</f>
        <v>3.5000000000000003E-2</v>
      </c>
      <c r="G11" s="129">
        <f t="shared" ref="G11:K11" ca="1" si="3">OFFSET(G11, $C$2,0)</f>
        <v>3.7000000000000005E-2</v>
      </c>
      <c r="H11" s="129">
        <f t="shared" ca="1" si="3"/>
        <v>3.9000000000000007E-2</v>
      </c>
      <c r="I11" s="129">
        <f t="shared" ca="1" si="3"/>
        <v>4.1000000000000009E-2</v>
      </c>
      <c r="J11" s="129">
        <f t="shared" ca="1" si="3"/>
        <v>4.300000000000001E-2</v>
      </c>
      <c r="K11" s="130">
        <f t="shared" ca="1" si="3"/>
        <v>4.5000000000000012E-2</v>
      </c>
    </row>
    <row r="12" spans="2:11">
      <c r="B12" s="14" t="s">
        <v>67</v>
      </c>
      <c r="C12" s="6"/>
      <c r="D12" s="6"/>
      <c r="E12" s="6"/>
      <c r="F12" s="131">
        <v>3.5000000000000003E-2</v>
      </c>
      <c r="G12" s="131">
        <f>F12+0.002</f>
        <v>3.7000000000000005E-2</v>
      </c>
      <c r="H12" s="131">
        <f t="shared" ref="H12:K12" si="4">G12+0.002</f>
        <v>3.9000000000000007E-2</v>
      </c>
      <c r="I12" s="131">
        <f t="shared" si="4"/>
        <v>4.1000000000000009E-2</v>
      </c>
      <c r="J12" s="131">
        <f t="shared" si="4"/>
        <v>4.300000000000001E-2</v>
      </c>
      <c r="K12" s="132">
        <f t="shared" si="4"/>
        <v>4.5000000000000012E-2</v>
      </c>
    </row>
    <row r="13" spans="2:11">
      <c r="B13" s="14" t="s">
        <v>68</v>
      </c>
      <c r="C13" s="6"/>
      <c r="D13" s="6"/>
      <c r="E13" s="6"/>
      <c r="F13" s="131">
        <v>4.4999999999999998E-2</v>
      </c>
      <c r="G13" s="131">
        <f>F13+0.002</f>
        <v>4.7E-2</v>
      </c>
      <c r="H13" s="131">
        <f t="shared" ref="H13:K13" si="5">G13+0.002</f>
        <v>4.9000000000000002E-2</v>
      </c>
      <c r="I13" s="131">
        <f t="shared" si="5"/>
        <v>5.1000000000000004E-2</v>
      </c>
      <c r="J13" s="131">
        <f t="shared" si="5"/>
        <v>5.3000000000000005E-2</v>
      </c>
      <c r="K13" s="132">
        <f t="shared" si="5"/>
        <v>5.5000000000000007E-2</v>
      </c>
    </row>
    <row r="14" spans="2:11" ht="17" thickBot="1">
      <c r="B14" s="20" t="s">
        <v>69</v>
      </c>
      <c r="C14" s="21"/>
      <c r="D14" s="21"/>
      <c r="E14" s="21"/>
      <c r="F14" s="133">
        <v>2.5000000000000001E-2</v>
      </c>
      <c r="G14" s="133">
        <f>F14-0.002</f>
        <v>2.3E-2</v>
      </c>
      <c r="H14" s="133">
        <f t="shared" ref="H14:K14" si="6">G14-0.002</f>
        <v>2.0999999999999998E-2</v>
      </c>
      <c r="I14" s="133">
        <f t="shared" si="6"/>
        <v>1.8999999999999996E-2</v>
      </c>
      <c r="J14" s="133">
        <f t="shared" si="6"/>
        <v>1.6999999999999994E-2</v>
      </c>
      <c r="K14" s="134">
        <f t="shared" si="6"/>
        <v>1.4999999999999994E-2</v>
      </c>
    </row>
    <row r="15" spans="2:11" ht="17" thickBot="1"/>
    <row r="16" spans="2:11" ht="17" thickBot="1">
      <c r="B16" s="119" t="s">
        <v>171</v>
      </c>
      <c r="C16" s="121">
        <v>8429.3389999999999</v>
      </c>
      <c r="D16" s="121">
        <v>8843.8269999999993</v>
      </c>
      <c r="E16" s="121">
        <v>8717.4359999999997</v>
      </c>
      <c r="F16" s="125">
        <f ca="1">E16*(1+F17)</f>
        <v>9066.1334399999996</v>
      </c>
      <c r="G16" s="125">
        <f t="shared" ref="G16:J16" ca="1" si="7">F16*(1+G17)</f>
        <v>9437.8449110399997</v>
      </c>
      <c r="H16" s="125">
        <f t="shared" ca="1" si="7"/>
        <v>9834.2343973036805</v>
      </c>
      <c r="I16" s="125">
        <f t="shared" ca="1" si="7"/>
        <v>10257.106476387738</v>
      </c>
      <c r="J16" s="125">
        <f t="shared" ca="1" si="7"/>
        <v>10708.4191613488</v>
      </c>
      <c r="K16" s="126">
        <f ca="1">J16*(1+K17)</f>
        <v>11190.298023609495</v>
      </c>
    </row>
    <row r="17" spans="2:11">
      <c r="B17" s="122" t="s">
        <v>12</v>
      </c>
      <c r="C17" s="13"/>
      <c r="D17" s="129">
        <f>(D16-C16)/C16</f>
        <v>4.9172064381323301E-2</v>
      </c>
      <c r="E17" s="129">
        <f>(E16-D16)/D16</f>
        <v>-1.4291437406000777E-2</v>
      </c>
      <c r="F17" s="129">
        <f ca="1">OFFSET(F17,$C$2,0)</f>
        <v>0.04</v>
      </c>
      <c r="G17" s="129">
        <f t="shared" ref="G17:K17" ca="1" si="8">OFFSET(G17,$C$2,0)</f>
        <v>4.1000000000000002E-2</v>
      </c>
      <c r="H17" s="129">
        <f t="shared" ca="1" si="8"/>
        <v>4.2000000000000003E-2</v>
      </c>
      <c r="I17" s="129">
        <f t="shared" ca="1" si="8"/>
        <v>4.3000000000000003E-2</v>
      </c>
      <c r="J17" s="129">
        <f t="shared" ca="1" si="8"/>
        <v>4.4000000000000004E-2</v>
      </c>
      <c r="K17" s="130">
        <f t="shared" ca="1" si="8"/>
        <v>4.5000000000000005E-2</v>
      </c>
    </row>
    <row r="18" spans="2:11">
      <c r="B18" s="14" t="s">
        <v>67</v>
      </c>
      <c r="C18" s="6"/>
      <c r="D18" s="6"/>
      <c r="E18" s="6"/>
      <c r="F18" s="131">
        <v>0.04</v>
      </c>
      <c r="G18" s="135">
        <f>F18+0.001</f>
        <v>4.1000000000000002E-2</v>
      </c>
      <c r="H18" s="135">
        <f t="shared" ref="H18:K18" si="9">G18+0.001</f>
        <v>4.2000000000000003E-2</v>
      </c>
      <c r="I18" s="135">
        <f t="shared" si="9"/>
        <v>4.3000000000000003E-2</v>
      </c>
      <c r="J18" s="135">
        <f t="shared" si="9"/>
        <v>4.4000000000000004E-2</v>
      </c>
      <c r="K18" s="136">
        <f t="shared" si="9"/>
        <v>4.5000000000000005E-2</v>
      </c>
    </row>
    <row r="19" spans="2:11">
      <c r="B19" s="14" t="s">
        <v>68</v>
      </c>
      <c r="C19" s="6"/>
      <c r="D19" s="6"/>
      <c r="E19" s="6"/>
      <c r="F19" s="131">
        <v>4.4999999999999998E-2</v>
      </c>
      <c r="G19" s="135">
        <f>F19+0.001</f>
        <v>4.5999999999999999E-2</v>
      </c>
      <c r="H19" s="135">
        <f t="shared" ref="H19:K19" si="10">G19+0.001</f>
        <v>4.7E-2</v>
      </c>
      <c r="I19" s="135">
        <f t="shared" si="10"/>
        <v>4.8000000000000001E-2</v>
      </c>
      <c r="J19" s="135">
        <f t="shared" si="10"/>
        <v>4.9000000000000002E-2</v>
      </c>
      <c r="K19" s="136">
        <f t="shared" si="10"/>
        <v>0.05</v>
      </c>
    </row>
    <row r="20" spans="2:11" ht="17" thickBot="1">
      <c r="B20" s="20" t="s">
        <v>69</v>
      </c>
      <c r="C20" s="21"/>
      <c r="D20" s="21"/>
      <c r="E20" s="21"/>
      <c r="F20" s="133">
        <v>0.03</v>
      </c>
      <c r="G20" s="137">
        <f>F20-0.001</f>
        <v>2.8999999999999998E-2</v>
      </c>
      <c r="H20" s="137">
        <f t="shared" ref="H20:K20" si="11">G20-0.001</f>
        <v>2.7999999999999997E-2</v>
      </c>
      <c r="I20" s="137">
        <f t="shared" si="11"/>
        <v>2.6999999999999996E-2</v>
      </c>
      <c r="J20" s="137">
        <f t="shared" si="11"/>
        <v>2.5999999999999995E-2</v>
      </c>
      <c r="K20" s="138">
        <f t="shared" si="11"/>
        <v>2.4999999999999994E-2</v>
      </c>
    </row>
    <row r="21" spans="2:11" ht="17" thickBot="1"/>
    <row r="22" spans="2:11" ht="17" thickBot="1">
      <c r="B22" s="65" t="s">
        <v>173</v>
      </c>
      <c r="C22" s="124"/>
      <c r="D22" s="124"/>
      <c r="E22" s="124"/>
      <c r="F22" s="124"/>
      <c r="G22" s="124"/>
      <c r="H22" s="124"/>
      <c r="I22" s="124"/>
      <c r="J22" s="124"/>
      <c r="K22" s="127"/>
    </row>
    <row r="23" spans="2:11" ht="17" thickBot="1">
      <c r="B23" s="119" t="s">
        <v>174</v>
      </c>
      <c r="C23" s="140">
        <f>C26+C32</f>
        <v>9632</v>
      </c>
      <c r="D23" s="140">
        <f t="shared" ref="D23:K23" si="12">D26+D32</f>
        <v>9805</v>
      </c>
      <c r="E23" s="140">
        <f t="shared" si="12"/>
        <v>9846</v>
      </c>
      <c r="F23" s="140">
        <f t="shared" ca="1" si="12"/>
        <v>10047.5</v>
      </c>
      <c r="G23" s="140">
        <f t="shared" ca="1" si="12"/>
        <v>10305.946550000001</v>
      </c>
      <c r="H23" s="140">
        <f t="shared" ca="1" si="12"/>
        <v>10625.80584825</v>
      </c>
      <c r="I23" s="140">
        <f t="shared" ca="1" si="12"/>
        <v>11012.504378814374</v>
      </c>
      <c r="J23" s="140">
        <f t="shared" ca="1" si="12"/>
        <v>11472.553746301313</v>
      </c>
      <c r="K23" s="126">
        <f t="shared" ca="1" si="12"/>
        <v>12013.701445606643</v>
      </c>
    </row>
    <row r="24" spans="2:11" ht="17" thickBot="1">
      <c r="B24" s="118" t="s">
        <v>12</v>
      </c>
      <c r="C24" s="120"/>
      <c r="D24" s="123">
        <f>(D23-C23)/C23</f>
        <v>1.7960963455149501E-2</v>
      </c>
      <c r="E24" s="123">
        <f t="shared" ref="E24:K24" si="13">(E23-D23)/D23</f>
        <v>4.1815400305966347E-3</v>
      </c>
      <c r="F24" s="123">
        <f t="shared" ca="1" si="13"/>
        <v>2.0465163518179973E-2</v>
      </c>
      <c r="G24" s="123">
        <f t="shared" ca="1" si="13"/>
        <v>2.5722473252052805E-2</v>
      </c>
      <c r="H24" s="123">
        <f t="shared" ca="1" si="13"/>
        <v>3.1036382412637242E-2</v>
      </c>
      <c r="I24" s="123">
        <f t="shared" ca="1" si="13"/>
        <v>3.6392395653272791E-2</v>
      </c>
      <c r="J24" s="123">
        <f t="shared" ca="1" si="13"/>
        <v>4.1775181344942104E-2</v>
      </c>
      <c r="K24" s="128">
        <f t="shared" ca="1" si="13"/>
        <v>4.7168896417660477E-2</v>
      </c>
    </row>
    <row r="25" spans="2:11" ht="17" thickBot="1"/>
    <row r="26" spans="2:11" ht="17" thickBot="1">
      <c r="B26" s="119" t="s">
        <v>175</v>
      </c>
      <c r="C26" s="140">
        <v>2953</v>
      </c>
      <c r="D26" s="140">
        <v>3146</v>
      </c>
      <c r="E26" s="140">
        <v>3622</v>
      </c>
      <c r="F26" s="141">
        <f ca="1">E26*(1+F27)</f>
        <v>3947.9800000000005</v>
      </c>
      <c r="G26" s="141">
        <f t="shared" ref="G26:K26" ca="1" si="14">F26*(1+G27)</f>
        <v>4313.1681500000004</v>
      </c>
      <c r="H26" s="141">
        <f t="shared" ca="1" si="14"/>
        <v>4722.9191242500001</v>
      </c>
      <c r="I26" s="141">
        <f t="shared" ca="1" si="14"/>
        <v>5183.4037388643746</v>
      </c>
      <c r="J26" s="141">
        <f t="shared" ca="1" si="14"/>
        <v>5701.7441127508127</v>
      </c>
      <c r="K26" s="142">
        <f t="shared" ca="1" si="14"/>
        <v>6286.1728843077717</v>
      </c>
    </row>
    <row r="27" spans="2:11">
      <c r="B27" s="122" t="s">
        <v>12</v>
      </c>
      <c r="C27" s="13"/>
      <c r="D27" s="129">
        <f>(D26-C26)/C26</f>
        <v>6.5357263799525903E-2</v>
      </c>
      <c r="E27" s="129">
        <f>(E26-D26)/D26</f>
        <v>0.15130324221233313</v>
      </c>
      <c r="F27" s="129">
        <f ca="1">OFFSET(F27,$C$2,0)</f>
        <v>0.09</v>
      </c>
      <c r="G27" s="129">
        <f t="shared" ref="G27:K27" ca="1" si="15">OFFSET(G27,$C$2,0)</f>
        <v>9.2499999999999999E-2</v>
      </c>
      <c r="H27" s="129">
        <f t="shared" ca="1" si="15"/>
        <v>9.5000000000000001E-2</v>
      </c>
      <c r="I27" s="129">
        <f t="shared" ca="1" si="15"/>
        <v>9.7500000000000003E-2</v>
      </c>
      <c r="J27" s="129">
        <f t="shared" ca="1" si="15"/>
        <v>0.1</v>
      </c>
      <c r="K27" s="130">
        <f t="shared" ca="1" si="15"/>
        <v>0.10250000000000001</v>
      </c>
    </row>
    <row r="28" spans="2:11">
      <c r="B28" s="14" t="s">
        <v>67</v>
      </c>
      <c r="C28" s="6"/>
      <c r="D28" s="6"/>
      <c r="E28" s="6"/>
      <c r="F28" s="131">
        <v>0.09</v>
      </c>
      <c r="G28" s="131">
        <f>F28+0.0025</f>
        <v>9.2499999999999999E-2</v>
      </c>
      <c r="H28" s="131">
        <f t="shared" ref="H28:K28" si="16">G28+0.0025</f>
        <v>9.5000000000000001E-2</v>
      </c>
      <c r="I28" s="131">
        <f t="shared" si="16"/>
        <v>9.7500000000000003E-2</v>
      </c>
      <c r="J28" s="131">
        <f t="shared" si="16"/>
        <v>0.1</v>
      </c>
      <c r="K28" s="132">
        <f t="shared" si="16"/>
        <v>0.10250000000000001</v>
      </c>
    </row>
    <row r="29" spans="2:11">
      <c r="B29" s="14" t="s">
        <v>68</v>
      </c>
      <c r="C29" s="6"/>
      <c r="D29" s="6"/>
      <c r="E29" s="6"/>
      <c r="F29" s="131">
        <v>0.1</v>
      </c>
      <c r="G29" s="131">
        <f>F29+0.0025</f>
        <v>0.10250000000000001</v>
      </c>
      <c r="H29" s="131">
        <f t="shared" ref="H29:K29" si="17">G29+0.0025</f>
        <v>0.10500000000000001</v>
      </c>
      <c r="I29" s="131">
        <f t="shared" si="17"/>
        <v>0.10750000000000001</v>
      </c>
      <c r="J29" s="131">
        <f t="shared" si="17"/>
        <v>0.11000000000000001</v>
      </c>
      <c r="K29" s="132">
        <f t="shared" si="17"/>
        <v>0.11250000000000002</v>
      </c>
    </row>
    <row r="30" spans="2:11" ht="17" thickBot="1">
      <c r="B30" s="20" t="s">
        <v>69</v>
      </c>
      <c r="C30" s="21"/>
      <c r="D30" s="21"/>
      <c r="E30" s="21"/>
      <c r="F30" s="133">
        <v>0.08</v>
      </c>
      <c r="G30" s="133">
        <f>F30-0.0025</f>
        <v>7.7499999999999999E-2</v>
      </c>
      <c r="H30" s="133">
        <f t="shared" ref="H30:K30" si="18">G30-0.0025</f>
        <v>7.4999999999999997E-2</v>
      </c>
      <c r="I30" s="133">
        <f t="shared" si="18"/>
        <v>7.2499999999999995E-2</v>
      </c>
      <c r="J30" s="133">
        <f t="shared" si="18"/>
        <v>6.9999999999999993E-2</v>
      </c>
      <c r="K30" s="134">
        <f t="shared" si="18"/>
        <v>6.7499999999999991E-2</v>
      </c>
    </row>
    <row r="31" spans="2:11" ht="17" thickBot="1"/>
    <row r="32" spans="2:11" ht="17" thickBot="1">
      <c r="B32" s="119" t="s">
        <v>176</v>
      </c>
      <c r="C32" s="140">
        <v>6679</v>
      </c>
      <c r="D32" s="140">
        <v>6659</v>
      </c>
      <c r="E32" s="140">
        <v>6224</v>
      </c>
      <c r="F32" s="141">
        <f ca="1">E32*(1+F33)</f>
        <v>6099.5199999999995</v>
      </c>
      <c r="G32" s="141">
        <f t="shared" ref="G32:K32" ca="1" si="19">F32*(1+G33)</f>
        <v>5992.7784000000001</v>
      </c>
      <c r="H32" s="141">
        <f t="shared" ca="1" si="19"/>
        <v>5902.886724</v>
      </c>
      <c r="I32" s="141">
        <f t="shared" ca="1" si="19"/>
        <v>5829.1006399500002</v>
      </c>
      <c r="J32" s="141">
        <f t="shared" ca="1" si="19"/>
        <v>5770.8096335504997</v>
      </c>
      <c r="K32" s="142">
        <f t="shared" ca="1" si="19"/>
        <v>5727.528561298871</v>
      </c>
    </row>
    <row r="33" spans="2:11">
      <c r="B33" s="122" t="s">
        <v>12</v>
      </c>
      <c r="C33" s="13"/>
      <c r="D33" s="129">
        <f>(D32-C32)/C32</f>
        <v>-2.9944602485402006E-3</v>
      </c>
      <c r="E33" s="129">
        <f>(E32-D32)/D32</f>
        <v>-6.5325123892476342E-2</v>
      </c>
      <c r="F33" s="129">
        <f ca="1">OFFSET(F33,$C$2,0)</f>
        <v>-0.02</v>
      </c>
      <c r="G33" s="129">
        <f t="shared" ref="G33:K33" ca="1" si="20">OFFSET(G33,$C$2,0)</f>
        <v>-1.7500000000000002E-2</v>
      </c>
      <c r="H33" s="129">
        <f t="shared" ca="1" si="20"/>
        <v>-1.5000000000000001E-2</v>
      </c>
      <c r="I33" s="129">
        <f t="shared" ca="1" si="20"/>
        <v>-1.2500000000000001E-2</v>
      </c>
      <c r="J33" s="129">
        <f t="shared" ca="1" si="20"/>
        <v>-0.01</v>
      </c>
      <c r="K33" s="130">
        <f t="shared" ca="1" si="20"/>
        <v>-7.4999999999999997E-3</v>
      </c>
    </row>
    <row r="34" spans="2:11">
      <c r="B34" s="14" t="s">
        <v>67</v>
      </c>
      <c r="C34" s="6"/>
      <c r="D34" s="6"/>
      <c r="E34" s="6"/>
      <c r="F34" s="131">
        <v>-0.02</v>
      </c>
      <c r="G34" s="131">
        <f>F34+0.0025</f>
        <v>-1.7500000000000002E-2</v>
      </c>
      <c r="H34" s="131">
        <f t="shared" ref="H34:K34" si="21">G34+0.0025</f>
        <v>-1.5000000000000001E-2</v>
      </c>
      <c r="I34" s="131">
        <f t="shared" si="21"/>
        <v>-1.2500000000000001E-2</v>
      </c>
      <c r="J34" s="131">
        <f t="shared" si="21"/>
        <v>-0.01</v>
      </c>
      <c r="K34" s="132">
        <f t="shared" si="21"/>
        <v>-7.4999999999999997E-3</v>
      </c>
    </row>
    <row r="35" spans="2:11">
      <c r="B35" s="14" t="s">
        <v>68</v>
      </c>
      <c r="C35" s="6"/>
      <c r="D35" s="6"/>
      <c r="E35" s="6"/>
      <c r="F35" s="131">
        <v>-0.01</v>
      </c>
      <c r="G35" s="131">
        <f>F35+0.0025</f>
        <v>-7.4999999999999997E-3</v>
      </c>
      <c r="H35" s="131">
        <f t="shared" ref="H35:K35" si="22">G35+0.0025</f>
        <v>-4.9999999999999992E-3</v>
      </c>
      <c r="I35" s="131">
        <f t="shared" si="22"/>
        <v>-2.4999999999999992E-3</v>
      </c>
      <c r="J35" s="131">
        <f t="shared" si="22"/>
        <v>0</v>
      </c>
      <c r="K35" s="132">
        <f t="shared" si="22"/>
        <v>2.5000000000000001E-3</v>
      </c>
    </row>
    <row r="36" spans="2:11" ht="17" thickBot="1">
      <c r="B36" s="20" t="s">
        <v>69</v>
      </c>
      <c r="C36" s="21"/>
      <c r="D36" s="21"/>
      <c r="E36" s="21"/>
      <c r="F36" s="133">
        <v>-0.03</v>
      </c>
      <c r="G36" s="133">
        <f>F36+0.0025</f>
        <v>-2.75E-2</v>
      </c>
      <c r="H36" s="133">
        <f t="shared" ref="H36:K36" si="23">G36+0.0025</f>
        <v>-2.5000000000000001E-2</v>
      </c>
      <c r="I36" s="133">
        <f t="shared" si="23"/>
        <v>-2.2500000000000003E-2</v>
      </c>
      <c r="J36" s="133">
        <f t="shared" si="23"/>
        <v>-2.0000000000000004E-2</v>
      </c>
      <c r="K36" s="134">
        <f t="shared" si="23"/>
        <v>-1.7500000000000005E-2</v>
      </c>
    </row>
    <row r="37" spans="2:11" ht="17" thickBot="1"/>
    <row r="38" spans="2:11" ht="17" thickBot="1">
      <c r="B38" s="65" t="s">
        <v>177</v>
      </c>
      <c r="C38" s="124"/>
      <c r="D38" s="124"/>
      <c r="E38" s="124"/>
      <c r="F38" s="124"/>
      <c r="G38" s="124"/>
      <c r="H38" s="124"/>
      <c r="I38" s="124"/>
      <c r="J38" s="124"/>
      <c r="K38" s="127"/>
    </row>
    <row r="39" spans="2:11" ht="17" thickBot="1">
      <c r="B39" s="119" t="s">
        <v>174</v>
      </c>
      <c r="C39" s="140">
        <f>C42+C48</f>
        <v>766</v>
      </c>
      <c r="D39" s="140">
        <f t="shared" ref="D39:K39" si="24">D42+D48</f>
        <v>723</v>
      </c>
      <c r="E39" s="140">
        <f t="shared" si="24"/>
        <v>755</v>
      </c>
      <c r="F39" s="140">
        <f t="shared" ca="1" si="24"/>
        <v>778.2</v>
      </c>
      <c r="G39" s="140">
        <f t="shared" ca="1" si="24"/>
        <v>802.38239999999996</v>
      </c>
      <c r="H39" s="140">
        <f t="shared" ca="1" si="24"/>
        <v>827.53379999999993</v>
      </c>
      <c r="I39" s="140">
        <f t="shared" ca="1" si="24"/>
        <v>853.62824268000008</v>
      </c>
      <c r="J39" s="140">
        <f t="shared" ca="1" si="24"/>
        <v>880.6263248808001</v>
      </c>
      <c r="K39" s="142">
        <f t="shared" ca="1" si="24"/>
        <v>908.47454114271602</v>
      </c>
    </row>
    <row r="40" spans="2:11" ht="17" thickBot="1">
      <c r="B40" s="118" t="s">
        <v>12</v>
      </c>
      <c r="C40" s="120"/>
      <c r="D40" s="123">
        <f>(D39-C39)/C39</f>
        <v>-5.6135770234986948E-2</v>
      </c>
      <c r="E40" s="123">
        <f t="shared" ref="E40" si="25">(E39-D39)/D39</f>
        <v>4.4260027662517291E-2</v>
      </c>
      <c r="F40" s="123">
        <f t="shared" ref="F40" ca="1" si="26">(F39-E39)/E39</f>
        <v>3.0728476821192112E-2</v>
      </c>
      <c r="G40" s="123">
        <f t="shared" ref="G40" ca="1" si="27">(G39-F39)/F39</f>
        <v>3.1074787972243528E-2</v>
      </c>
      <c r="H40" s="123">
        <f t="shared" ref="H40" ca="1" si="28">(H39-G39)/G39</f>
        <v>3.1345901904129461E-2</v>
      </c>
      <c r="I40" s="123">
        <f t="shared" ref="I40" ca="1" si="29">(I39-H39)/H39</f>
        <v>3.1532781718402507E-2</v>
      </c>
      <c r="J40" s="123">
        <f t="shared" ref="J40" ca="1" si="30">(J39-I39)/I39</f>
        <v>3.1627447231640848E-2</v>
      </c>
      <c r="K40" s="128">
        <f t="shared" ref="K40" ca="1" si="31">(K39-J39)/J39</f>
        <v>3.1623193033305477E-2</v>
      </c>
    </row>
    <row r="41" spans="2:11" ht="17" thickBot="1"/>
    <row r="42" spans="2:11" ht="17" thickBot="1">
      <c r="B42" s="119" t="s">
        <v>178</v>
      </c>
      <c r="C42" s="140">
        <v>697</v>
      </c>
      <c r="D42" s="140">
        <v>653</v>
      </c>
      <c r="E42" s="140">
        <v>674</v>
      </c>
      <c r="F42" s="141">
        <f ca="1">E42*(1+F43)</f>
        <v>687.48</v>
      </c>
      <c r="G42" s="141">
        <f t="shared" ref="G42" ca="1" si="32">F42*(1+G43)</f>
        <v>701.2296</v>
      </c>
      <c r="H42" s="141">
        <f t="shared" ref="H42" ca="1" si="33">G42*(1+H43)</f>
        <v>715.25419199999999</v>
      </c>
      <c r="I42" s="141">
        <f t="shared" ref="I42" ca="1" si="34">H42*(1+I43)</f>
        <v>729.55927584000005</v>
      </c>
      <c r="J42" s="141">
        <f t="shared" ref="J42" ca="1" si="35">I42*(1+J43)</f>
        <v>744.15046135680007</v>
      </c>
      <c r="K42" s="142">
        <f t="shared" ref="K42" ca="1" si="36">J42*(1+K43)</f>
        <v>759.03347058393604</v>
      </c>
    </row>
    <row r="43" spans="2:11">
      <c r="B43" s="122" t="s">
        <v>12</v>
      </c>
      <c r="C43" s="13"/>
      <c r="D43" s="129">
        <f>(D42-C42)/C42</f>
        <v>-6.3127690100430414E-2</v>
      </c>
      <c r="E43" s="129">
        <f>(E42-D42)/D42</f>
        <v>3.2159264931087291E-2</v>
      </c>
      <c r="F43" s="129">
        <f ca="1">OFFSET(F43,$C$2,0)</f>
        <v>0.02</v>
      </c>
      <c r="G43" s="129">
        <f t="shared" ref="G43:K43" ca="1" si="37">OFFSET(G43,$C$2,0)</f>
        <v>0.02</v>
      </c>
      <c r="H43" s="129">
        <f t="shared" ca="1" si="37"/>
        <v>0.02</v>
      </c>
      <c r="I43" s="129">
        <f t="shared" ca="1" si="37"/>
        <v>0.02</v>
      </c>
      <c r="J43" s="129">
        <f t="shared" ca="1" si="37"/>
        <v>0.02</v>
      </c>
      <c r="K43" s="130">
        <f t="shared" ca="1" si="37"/>
        <v>0.02</v>
      </c>
    </row>
    <row r="44" spans="2:11">
      <c r="B44" s="14" t="s">
        <v>67</v>
      </c>
      <c r="C44" s="6"/>
      <c r="D44" s="6"/>
      <c r="E44" s="6"/>
      <c r="F44" s="131">
        <v>0.02</v>
      </c>
      <c r="G44" s="131">
        <v>0.02</v>
      </c>
      <c r="H44" s="131">
        <v>0.02</v>
      </c>
      <c r="I44" s="131">
        <v>0.02</v>
      </c>
      <c r="J44" s="131">
        <v>0.02</v>
      </c>
      <c r="K44" s="132">
        <v>0.02</v>
      </c>
    </row>
    <row r="45" spans="2:11">
      <c r="B45" s="14" t="s">
        <v>68</v>
      </c>
      <c r="C45" s="6"/>
      <c r="D45" s="6"/>
      <c r="E45" s="6"/>
      <c r="F45" s="131">
        <v>0.03</v>
      </c>
      <c r="G45" s="131">
        <v>0.03</v>
      </c>
      <c r="H45" s="131">
        <v>0.03</v>
      </c>
      <c r="I45" s="131">
        <v>0.03</v>
      </c>
      <c r="J45" s="131">
        <v>0.03</v>
      </c>
      <c r="K45" s="132">
        <v>0.03</v>
      </c>
    </row>
    <row r="46" spans="2:11" ht="17" thickBot="1">
      <c r="B46" s="20" t="s">
        <v>69</v>
      </c>
      <c r="C46" s="21"/>
      <c r="D46" s="21"/>
      <c r="E46" s="21"/>
      <c r="F46" s="133">
        <v>0.01</v>
      </c>
      <c r="G46" s="133">
        <v>0.01</v>
      </c>
      <c r="H46" s="133">
        <v>0.01</v>
      </c>
      <c r="I46" s="133">
        <v>0.01</v>
      </c>
      <c r="J46" s="133">
        <v>0.01</v>
      </c>
      <c r="K46" s="134">
        <v>0.01</v>
      </c>
    </row>
    <row r="47" spans="2:11" ht="17" thickBot="1"/>
    <row r="48" spans="2:11" ht="17" thickBot="1">
      <c r="B48" s="119" t="s">
        <v>179</v>
      </c>
      <c r="C48" s="140">
        <v>69</v>
      </c>
      <c r="D48" s="140">
        <v>70</v>
      </c>
      <c r="E48" s="140">
        <v>81</v>
      </c>
      <c r="F48" s="141">
        <f ca="1">E48*(1+F49)</f>
        <v>90.720000000000013</v>
      </c>
      <c r="G48" s="141">
        <f t="shared" ref="G48" ca="1" si="38">F48*(1+G49)</f>
        <v>101.15280000000001</v>
      </c>
      <c r="H48" s="141">
        <f t="shared" ref="H48" ca="1" si="39">G48*(1+H49)</f>
        <v>112.279608</v>
      </c>
      <c r="I48" s="141">
        <f t="shared" ref="I48" ca="1" si="40">H48*(1+I49)</f>
        <v>124.06896683999999</v>
      </c>
      <c r="J48" s="141">
        <f t="shared" ref="J48" ca="1" si="41">I48*(1+J49)</f>
        <v>136.475863524</v>
      </c>
      <c r="K48" s="142">
        <f t="shared" ref="K48" ca="1" si="42">J48*(1+K49)</f>
        <v>149.44107055878001</v>
      </c>
    </row>
    <row r="49" spans="2:11">
      <c r="B49" s="122" t="s">
        <v>12</v>
      </c>
      <c r="C49" s="13"/>
      <c r="D49" s="129">
        <f>(D48-C48)/C48</f>
        <v>1.4492753623188406E-2</v>
      </c>
      <c r="E49" s="129">
        <f>(E48-D48)/D48</f>
        <v>0.15714285714285714</v>
      </c>
      <c r="F49" s="129">
        <f ca="1">OFFSET(F49,$C$2,0)</f>
        <v>0.12</v>
      </c>
      <c r="G49" s="129">
        <f t="shared" ref="G49:K49" ca="1" si="43">OFFSET(G49,$C$2,0)</f>
        <v>0.11499999999999999</v>
      </c>
      <c r="H49" s="129">
        <f t="shared" ca="1" si="43"/>
        <v>0.10999999999999999</v>
      </c>
      <c r="I49" s="129">
        <f t="shared" ca="1" si="43"/>
        <v>0.10499999999999998</v>
      </c>
      <c r="J49" s="129">
        <f t="shared" ca="1" si="43"/>
        <v>9.9999999999999978E-2</v>
      </c>
      <c r="K49" s="130">
        <f t="shared" ca="1" si="43"/>
        <v>9.4999999999999973E-2</v>
      </c>
    </row>
    <row r="50" spans="2:11">
      <c r="B50" s="14" t="s">
        <v>67</v>
      </c>
      <c r="C50" s="6"/>
      <c r="D50" s="6"/>
      <c r="E50" s="6"/>
      <c r="F50" s="131">
        <v>0.12</v>
      </c>
      <c r="G50" s="131">
        <f>F50-0.005</f>
        <v>0.11499999999999999</v>
      </c>
      <c r="H50" s="131">
        <f t="shared" ref="H50:K50" si="44">G50-0.005</f>
        <v>0.10999999999999999</v>
      </c>
      <c r="I50" s="131">
        <f t="shared" si="44"/>
        <v>0.10499999999999998</v>
      </c>
      <c r="J50" s="131">
        <f t="shared" si="44"/>
        <v>9.9999999999999978E-2</v>
      </c>
      <c r="K50" s="132">
        <f t="shared" si="44"/>
        <v>9.4999999999999973E-2</v>
      </c>
    </row>
    <row r="51" spans="2:11">
      <c r="B51" s="14" t="s">
        <v>68</v>
      </c>
      <c r="C51" s="6"/>
      <c r="D51" s="6"/>
      <c r="E51" s="6"/>
      <c r="F51" s="131">
        <v>0.13</v>
      </c>
      <c r="G51" s="131">
        <f>F51-0.005</f>
        <v>0.125</v>
      </c>
      <c r="H51" s="131">
        <f t="shared" ref="H51:K51" si="45">G51-0.005</f>
        <v>0.12</v>
      </c>
      <c r="I51" s="131">
        <f t="shared" si="45"/>
        <v>0.11499999999999999</v>
      </c>
      <c r="J51" s="131">
        <f t="shared" si="45"/>
        <v>0.10999999999999999</v>
      </c>
      <c r="K51" s="132">
        <f t="shared" si="45"/>
        <v>0.10499999999999998</v>
      </c>
    </row>
    <row r="52" spans="2:11" ht="17" thickBot="1">
      <c r="B52" s="20" t="s">
        <v>69</v>
      </c>
      <c r="C52" s="21"/>
      <c r="D52" s="21"/>
      <c r="E52" s="21"/>
      <c r="F52" s="133">
        <v>0.11</v>
      </c>
      <c r="G52" s="133">
        <f>F52-0.005</f>
        <v>0.105</v>
      </c>
      <c r="H52" s="133">
        <f t="shared" ref="H52:K52" si="46">G52-0.005</f>
        <v>9.9999999999999992E-2</v>
      </c>
      <c r="I52" s="133">
        <f t="shared" si="46"/>
        <v>9.4999999999999987E-2</v>
      </c>
      <c r="J52" s="133">
        <f t="shared" si="46"/>
        <v>8.9999999999999983E-2</v>
      </c>
      <c r="K52" s="134">
        <f t="shared" si="46"/>
        <v>8.4999999999999978E-2</v>
      </c>
    </row>
    <row r="53" spans="2:11"/>
    <row r="54" spans="2:11"/>
  </sheetData>
  <mergeCells count="1">
    <mergeCell ref="F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EF57-0751-5D43-90A2-3BF71A2151A9}">
  <dimension ref="A1:L106"/>
  <sheetViews>
    <sheetView showGridLines="0" workbookViewId="0">
      <pane ySplit="5" topLeftCell="A30" activePane="bottomLeft" state="frozen"/>
      <selection pane="bottomLeft" activeCell="C50" sqref="C50"/>
    </sheetView>
  </sheetViews>
  <sheetFormatPr baseColWidth="10" defaultColWidth="0" defaultRowHeight="16" zeroHeight="1"/>
  <cols>
    <col min="1" max="1" width="4.33203125" customWidth="1"/>
    <col min="2" max="2" width="40.83203125" customWidth="1"/>
    <col min="3" max="11" width="12.83203125" customWidth="1"/>
    <col min="12" max="12" width="10.83203125" customWidth="1"/>
    <col min="13" max="16384" width="10.83203125" hidden="1"/>
  </cols>
  <sheetData>
    <row r="1" spans="2:11"/>
    <row r="2" spans="2:11">
      <c r="B2" s="37" t="s">
        <v>172</v>
      </c>
      <c r="C2" s="37">
        <f>Summary!C2</f>
        <v>1</v>
      </c>
      <c r="D2" s="117"/>
    </row>
    <row r="3" spans="2:11">
      <c r="B3" s="116" t="s">
        <v>3</v>
      </c>
      <c r="C3" s="37"/>
      <c r="D3" s="37"/>
      <c r="E3" s="37"/>
      <c r="F3" s="266" t="s">
        <v>87</v>
      </c>
      <c r="G3" s="266"/>
      <c r="H3" s="266"/>
      <c r="I3" s="266"/>
      <c r="J3" s="266"/>
      <c r="K3" s="26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 ht="17" thickBot="1"/>
    <row r="7" spans="2:11" ht="17" thickBot="1">
      <c r="B7" s="65" t="s">
        <v>180</v>
      </c>
      <c r="C7" s="124"/>
      <c r="D7" s="124"/>
      <c r="E7" s="124"/>
      <c r="F7" s="124"/>
      <c r="G7" s="124"/>
      <c r="H7" s="124"/>
      <c r="I7" s="124"/>
      <c r="J7" s="124"/>
      <c r="K7" s="127"/>
    </row>
    <row r="8" spans="2:11" ht="17" thickBot="1">
      <c r="B8" s="119" t="s">
        <v>88</v>
      </c>
      <c r="C8" s="121">
        <f>'Financial Statements'!C11*-1</f>
        <v>14355.869000000001</v>
      </c>
      <c r="D8" s="121">
        <f>'Financial Statements'!D11*-1</f>
        <v>14799.938</v>
      </c>
      <c r="E8" s="121">
        <f>'Financial Statements'!E11*-1</f>
        <v>14962.954</v>
      </c>
      <c r="F8" s="121">
        <f ca="1">F9*'Financial Statements'!F$9</f>
        <v>15463.638170324999</v>
      </c>
      <c r="G8" s="121">
        <f ca="1">G9*'Financial Statements'!G$9</f>
        <v>15995.597057778938</v>
      </c>
      <c r="H8" s="121">
        <f ca="1">H9*'Financial Statements'!H$9</f>
        <v>16571.573441680855</v>
      </c>
      <c r="I8" s="121">
        <f ca="1">I9*'Financial Statements'!I$9</f>
        <v>17194.893536193347</v>
      </c>
      <c r="J8" s="121">
        <f ca="1">J9*'Financial Statements'!J$9</f>
        <v>17869.233359127087</v>
      </c>
      <c r="K8" s="126">
        <f ca="1">K9*'Financial Statements'!K$9</f>
        <v>18598.655464846655</v>
      </c>
    </row>
    <row r="9" spans="2:11">
      <c r="B9" s="122" t="s">
        <v>181</v>
      </c>
      <c r="C9" s="145">
        <f>C8/'Financial Statements'!C$9</f>
        <v>0.6497053082530434</v>
      </c>
      <c r="D9" s="145">
        <f>D8/'Financial Statements'!D$9</f>
        <v>0.64095049892575384</v>
      </c>
      <c r="E9" s="145">
        <f>E8/'Financial Statements'!E$9</f>
        <v>0.6370855615394484</v>
      </c>
      <c r="F9" s="145">
        <f ca="1">OFFSET(F9,$C$2,0)</f>
        <v>0.63500000000000001</v>
      </c>
      <c r="G9" s="145">
        <f t="shared" ref="G9:K9" ca="1" si="0">OFFSET(G9,$C$2,0)</f>
        <v>0.63250000000000006</v>
      </c>
      <c r="H9" s="145">
        <f t="shared" ca="1" si="0"/>
        <v>0.63000000000000012</v>
      </c>
      <c r="I9" s="145">
        <f t="shared" ca="1" si="0"/>
        <v>0.62750000000000017</v>
      </c>
      <c r="J9" s="145">
        <f t="shared" ca="1" si="0"/>
        <v>0.62500000000000022</v>
      </c>
      <c r="K9" s="146">
        <f t="shared" ca="1" si="0"/>
        <v>0.62250000000000028</v>
      </c>
    </row>
    <row r="10" spans="2:11">
      <c r="B10" s="102" t="s">
        <v>67</v>
      </c>
      <c r="F10" s="131">
        <v>0.63500000000000001</v>
      </c>
      <c r="G10" s="131">
        <f>F10-0.0025</f>
        <v>0.63250000000000006</v>
      </c>
      <c r="H10" s="131">
        <f t="shared" ref="H10:K10" si="1">G10-0.0025</f>
        <v>0.63000000000000012</v>
      </c>
      <c r="I10" s="131">
        <f t="shared" si="1"/>
        <v>0.62750000000000017</v>
      </c>
      <c r="J10" s="131">
        <f t="shared" si="1"/>
        <v>0.62500000000000022</v>
      </c>
      <c r="K10" s="132">
        <f t="shared" si="1"/>
        <v>0.62250000000000028</v>
      </c>
    </row>
    <row r="11" spans="2:11">
      <c r="B11" s="102" t="s">
        <v>68</v>
      </c>
      <c r="F11" s="131">
        <f>F10-0.01</f>
        <v>0.625</v>
      </c>
      <c r="G11" s="131">
        <f>F11-0.0025</f>
        <v>0.62250000000000005</v>
      </c>
      <c r="H11" s="131">
        <f t="shared" ref="H11:K11" si="2">G11-0.0025</f>
        <v>0.62000000000000011</v>
      </c>
      <c r="I11" s="131">
        <f t="shared" si="2"/>
        <v>0.61750000000000016</v>
      </c>
      <c r="J11" s="131">
        <f t="shared" si="2"/>
        <v>0.61500000000000021</v>
      </c>
      <c r="K11" s="132">
        <f t="shared" si="2"/>
        <v>0.61250000000000027</v>
      </c>
    </row>
    <row r="12" spans="2:11" ht="17" thickBot="1">
      <c r="B12" s="91" t="s">
        <v>69</v>
      </c>
      <c r="C12" s="75"/>
      <c r="D12" s="75"/>
      <c r="E12" s="75"/>
      <c r="F12" s="133">
        <f>F10+0.01</f>
        <v>0.64500000000000002</v>
      </c>
      <c r="G12" s="133">
        <f>F12-0.0025</f>
        <v>0.64250000000000007</v>
      </c>
      <c r="H12" s="133">
        <f t="shared" ref="H12:K12" si="3">G12-0.0025</f>
        <v>0.64000000000000012</v>
      </c>
      <c r="I12" s="133">
        <f t="shared" si="3"/>
        <v>0.63750000000000018</v>
      </c>
      <c r="J12" s="133">
        <f t="shared" si="3"/>
        <v>0.63500000000000023</v>
      </c>
      <c r="K12" s="134">
        <f t="shared" si="3"/>
        <v>0.63250000000000028</v>
      </c>
    </row>
    <row r="13" spans="2:11" ht="17" thickBot="1"/>
    <row r="14" spans="2:11" ht="17" thickBot="1">
      <c r="B14" s="119" t="s">
        <v>182</v>
      </c>
      <c r="C14" s="121">
        <f>'Financial Statements'!C13*-1</f>
        <v>5758.2950000000001</v>
      </c>
      <c r="D14" s="121">
        <f>'Financial Statements'!D13*-1</f>
        <v>6167.143</v>
      </c>
      <c r="E14" s="121">
        <f>'Financial Statements'!E13*-1</f>
        <v>6642.9</v>
      </c>
      <c r="F14" s="121">
        <f ca="1">F15*'Financial Statements'!F$9</f>
        <v>6940.373037074999</v>
      </c>
      <c r="G14" s="121">
        <f ca="1">G15*'Financial Statements'!G$9</f>
        <v>7144.2785277826861</v>
      </c>
      <c r="H14" s="121">
        <f ca="1">H15*'Financial Statements'!H$9</f>
        <v>7365.1437518581552</v>
      </c>
      <c r="I14" s="121">
        <f ca="1">I15*'Financial Statements'!I$9</f>
        <v>7604.116265009804</v>
      </c>
      <c r="J14" s="121">
        <f ca="1">J15*'Financial Statements'!J$9</f>
        <v>7862.4626780159151</v>
      </c>
      <c r="K14" s="126">
        <f ca="1">K15*'Financial Statements'!K$9</f>
        <v>8141.5801030854791</v>
      </c>
    </row>
    <row r="15" spans="2:11">
      <c r="B15" s="122" t="s">
        <v>181</v>
      </c>
      <c r="C15" s="145">
        <f>C14/'Financial Statements'!C$9</f>
        <v>0.26060385672138403</v>
      </c>
      <c r="D15" s="145">
        <f>D14/'Financial Statements'!D$9</f>
        <v>0.2670844555427509</v>
      </c>
      <c r="E15" s="145">
        <f>E14/'Financial Statements'!E$9</f>
        <v>0.28283824682949643</v>
      </c>
      <c r="F15" s="145">
        <f ca="1">OFFSET(F15,$C$2,0)</f>
        <v>0.28499999999999998</v>
      </c>
      <c r="G15" s="145">
        <f t="shared" ref="G15:K15" ca="1" si="4">OFFSET(G15,$C$2,0)</f>
        <v>0.28249999999999997</v>
      </c>
      <c r="H15" s="145">
        <f t="shared" ca="1" si="4"/>
        <v>0.27999999999999997</v>
      </c>
      <c r="I15" s="145">
        <f t="shared" ca="1" si="4"/>
        <v>0.27749999999999997</v>
      </c>
      <c r="J15" s="145">
        <f t="shared" ca="1" si="4"/>
        <v>0.27499999999999997</v>
      </c>
      <c r="K15" s="146">
        <f t="shared" ca="1" si="4"/>
        <v>0.27249999999999996</v>
      </c>
    </row>
    <row r="16" spans="2:11">
      <c r="B16" s="102" t="s">
        <v>67</v>
      </c>
      <c r="F16" s="131">
        <v>0.28499999999999998</v>
      </c>
      <c r="G16" s="131">
        <f>F16-0.0025</f>
        <v>0.28249999999999997</v>
      </c>
      <c r="H16" s="131">
        <f t="shared" ref="H16:K16" si="5">G16-0.0025</f>
        <v>0.27999999999999997</v>
      </c>
      <c r="I16" s="131">
        <f t="shared" si="5"/>
        <v>0.27749999999999997</v>
      </c>
      <c r="J16" s="131">
        <f t="shared" si="5"/>
        <v>0.27499999999999997</v>
      </c>
      <c r="K16" s="132">
        <f t="shared" si="5"/>
        <v>0.27249999999999996</v>
      </c>
    </row>
    <row r="17" spans="2:11">
      <c r="B17" s="102" t="s">
        <v>68</v>
      </c>
      <c r="F17" s="131">
        <f>F16-0.005</f>
        <v>0.27999999999999997</v>
      </c>
      <c r="G17" s="131">
        <f>F17-0.0025</f>
        <v>0.27749999999999997</v>
      </c>
      <c r="H17" s="131">
        <f t="shared" ref="H17:K17" si="6">G17-0.0025</f>
        <v>0.27499999999999997</v>
      </c>
      <c r="I17" s="131">
        <f t="shared" si="6"/>
        <v>0.27249999999999996</v>
      </c>
      <c r="J17" s="131">
        <f t="shared" si="6"/>
        <v>0.26999999999999996</v>
      </c>
      <c r="K17" s="132">
        <f t="shared" si="6"/>
        <v>0.26749999999999996</v>
      </c>
    </row>
    <row r="18" spans="2:11" ht="17" thickBot="1">
      <c r="B18" s="91" t="s">
        <v>69</v>
      </c>
      <c r="C18" s="75"/>
      <c r="D18" s="75"/>
      <c r="E18" s="75"/>
      <c r="F18" s="133">
        <f>F16+0.01</f>
        <v>0.29499999999999998</v>
      </c>
      <c r="G18" s="133">
        <f>F18-0.0025</f>
        <v>0.29249999999999998</v>
      </c>
      <c r="H18" s="133">
        <f t="shared" ref="H18:K18" si="7">G18-0.0025</f>
        <v>0.28999999999999998</v>
      </c>
      <c r="I18" s="133">
        <f t="shared" si="7"/>
        <v>0.28749999999999998</v>
      </c>
      <c r="J18" s="133">
        <f t="shared" si="7"/>
        <v>0.28499999999999998</v>
      </c>
      <c r="K18" s="134">
        <f t="shared" si="7"/>
        <v>0.28249999999999997</v>
      </c>
    </row>
    <row r="19" spans="2:11" ht="17" thickBot="1"/>
    <row r="20" spans="2:11" ht="17" thickBot="1">
      <c r="B20" s="119" t="s">
        <v>183</v>
      </c>
      <c r="C20" s="121">
        <f>'Financial Statements'!C14*-1</f>
        <v>347.81900000000002</v>
      </c>
      <c r="D20" s="121">
        <f>'Financial Statements'!D14*-1</f>
        <v>350.529</v>
      </c>
      <c r="E20" s="121">
        <f>'Financial Statements'!E14*-1</f>
        <v>407.97800000000001</v>
      </c>
      <c r="F20" s="121">
        <f ca="1">F21*F57</f>
        <v>426.16325666249992</v>
      </c>
      <c r="G20" s="121">
        <f t="shared" ref="G20:K20" ca="1" si="8">G21*G57</f>
        <v>531.07911179977498</v>
      </c>
      <c r="H20" s="121">
        <f t="shared" ca="1" si="8"/>
        <v>644.45007828758867</v>
      </c>
      <c r="I20" s="121">
        <f t="shared" ca="1" si="8"/>
        <v>767.26218169468302</v>
      </c>
      <c r="J20" s="121">
        <f t="shared" ca="1" si="8"/>
        <v>900.60936130000482</v>
      </c>
      <c r="K20" s="126">
        <f t="shared" ca="1" si="8"/>
        <v>1045.7075361761165</v>
      </c>
    </row>
    <row r="21" spans="2:11">
      <c r="B21" s="122" t="s">
        <v>184</v>
      </c>
      <c r="C21" s="145">
        <f>C20/C57</f>
        <v>1.0241055024261554</v>
      </c>
      <c r="D21" s="145">
        <f t="shared" ref="D21:E21" si="9">D20/D57</f>
        <v>0.6837255571268348</v>
      </c>
      <c r="E21" s="145">
        <f t="shared" si="9"/>
        <v>0.71910797600729015</v>
      </c>
      <c r="F21" s="145">
        <f ca="1">OFFSET(F21,$C$2,0)</f>
        <v>0.7</v>
      </c>
      <c r="G21" s="145">
        <f t="shared" ref="G21:K21" ca="1" si="10">OFFSET(G21,$C$2,0)</f>
        <v>0.7</v>
      </c>
      <c r="H21" s="145">
        <f t="shared" ca="1" si="10"/>
        <v>0.7</v>
      </c>
      <c r="I21" s="145">
        <f t="shared" ca="1" si="10"/>
        <v>0.7</v>
      </c>
      <c r="J21" s="145">
        <f t="shared" ca="1" si="10"/>
        <v>0.7</v>
      </c>
      <c r="K21" s="146">
        <f t="shared" ca="1" si="10"/>
        <v>0.7</v>
      </c>
    </row>
    <row r="22" spans="2:11">
      <c r="B22" s="102" t="s">
        <v>67</v>
      </c>
      <c r="F22" s="131">
        <v>0.7</v>
      </c>
      <c r="G22" s="131">
        <v>0.7</v>
      </c>
      <c r="H22" s="131">
        <v>0.7</v>
      </c>
      <c r="I22" s="131">
        <v>0.7</v>
      </c>
      <c r="J22" s="131">
        <v>0.7</v>
      </c>
      <c r="K22" s="132">
        <v>0.7</v>
      </c>
    </row>
    <row r="23" spans="2:11">
      <c r="B23" s="102" t="s">
        <v>68</v>
      </c>
      <c r="F23" s="131">
        <f>F22-0.005</f>
        <v>0.69499999999999995</v>
      </c>
      <c r="G23" s="131">
        <f t="shared" ref="G23:K23" si="11">G22-0.005</f>
        <v>0.69499999999999995</v>
      </c>
      <c r="H23" s="131">
        <f t="shared" si="11"/>
        <v>0.69499999999999995</v>
      </c>
      <c r="I23" s="131">
        <f t="shared" si="11"/>
        <v>0.69499999999999995</v>
      </c>
      <c r="J23" s="131">
        <f t="shared" si="11"/>
        <v>0.69499999999999995</v>
      </c>
      <c r="K23" s="132">
        <f t="shared" si="11"/>
        <v>0.69499999999999995</v>
      </c>
    </row>
    <row r="24" spans="2:11" ht="17" thickBot="1">
      <c r="B24" s="91" t="s">
        <v>69</v>
      </c>
      <c r="C24" s="75"/>
      <c r="D24" s="75"/>
      <c r="E24" s="75"/>
      <c r="F24" s="133">
        <v>0.70499999999999996</v>
      </c>
      <c r="G24" s="133">
        <v>0.70499999999999996</v>
      </c>
      <c r="H24" s="133">
        <v>0.70499999999999996</v>
      </c>
      <c r="I24" s="133">
        <v>0.70499999999999996</v>
      </c>
      <c r="J24" s="133">
        <v>0.70499999999999996</v>
      </c>
      <c r="K24" s="134">
        <v>0.70499999999999996</v>
      </c>
    </row>
    <row r="25" spans="2:11" ht="17" thickBot="1"/>
    <row r="26" spans="2:11" ht="17" thickBot="1">
      <c r="B26" s="119" t="s">
        <v>55</v>
      </c>
      <c r="C26" s="121">
        <f>'Financial Statements'!C15*-1</f>
        <v>19.791</v>
      </c>
      <c r="D26" s="121">
        <f>'Financial Statements'!D15*-1</f>
        <v>25.946999999999999</v>
      </c>
      <c r="E26" s="121">
        <f>'Financial Statements'!E15*-1</f>
        <v>30.001000000000001</v>
      </c>
      <c r="F26" s="121">
        <f ca="1">F27*'Financial Statements'!F$9</f>
        <v>24.352186094999997</v>
      </c>
      <c r="G26" s="121">
        <f ca="1">G27*'Financial Statements'!G$9</f>
        <v>25.289481514275</v>
      </c>
      <c r="H26" s="121">
        <f ca="1">H27*'Financial Statements'!H$9</f>
        <v>26.304084828064845</v>
      </c>
      <c r="I26" s="121">
        <f ca="1">I27*'Financial Statements'!I$9</f>
        <v>27.402220774810107</v>
      </c>
      <c r="J26" s="121">
        <f ca="1">J27*'Financial Statements'!J$9</f>
        <v>28.59077337460333</v>
      </c>
      <c r="K26" s="126">
        <f ca="1">K27*'Financial Statements'!K$9</f>
        <v>29.877358176460479</v>
      </c>
    </row>
    <row r="27" spans="2:11">
      <c r="B27" s="122" t="s">
        <v>181</v>
      </c>
      <c r="C27" s="145">
        <f>C26/'Financial Statements'!C$9</f>
        <v>8.9568369254664989E-4</v>
      </c>
      <c r="D27" s="145">
        <f>D26/'Financial Statements'!D$9</f>
        <v>1.1237035314355056E-3</v>
      </c>
      <c r="E27" s="145">
        <f>E26/'Financial Statements'!E$9</f>
        <v>1.2773683546541004E-3</v>
      </c>
      <c r="F27" s="145">
        <f ca="1">OFFSET(F27,$C$2,0)</f>
        <v>1E-3</v>
      </c>
      <c r="G27" s="145">
        <f t="shared" ref="G27:K27" ca="1" si="12">OFFSET(G27,$C$2,0)</f>
        <v>1E-3</v>
      </c>
      <c r="H27" s="145">
        <f t="shared" ca="1" si="12"/>
        <v>1E-3</v>
      </c>
      <c r="I27" s="145">
        <f t="shared" ca="1" si="12"/>
        <v>1E-3</v>
      </c>
      <c r="J27" s="145">
        <f t="shared" ca="1" si="12"/>
        <v>1E-3</v>
      </c>
      <c r="K27" s="146">
        <f t="shared" ca="1" si="12"/>
        <v>1E-3</v>
      </c>
    </row>
    <row r="28" spans="2:11">
      <c r="B28" s="102" t="s">
        <v>67</v>
      </c>
      <c r="F28" s="131">
        <v>1E-3</v>
      </c>
      <c r="G28" s="131">
        <v>1E-3</v>
      </c>
      <c r="H28" s="131">
        <v>1E-3</v>
      </c>
      <c r="I28" s="131">
        <v>1E-3</v>
      </c>
      <c r="J28" s="131">
        <v>1E-3</v>
      </c>
      <c r="K28" s="132">
        <v>1E-3</v>
      </c>
    </row>
    <row r="29" spans="2:11">
      <c r="B29" s="102" t="s">
        <v>68</v>
      </c>
      <c r="F29" s="131">
        <v>1E-3</v>
      </c>
      <c r="G29" s="131">
        <v>1E-3</v>
      </c>
      <c r="H29" s="131">
        <v>1E-3</v>
      </c>
      <c r="I29" s="131">
        <v>1E-3</v>
      </c>
      <c r="J29" s="131">
        <v>1E-3</v>
      </c>
      <c r="K29" s="132">
        <v>1E-3</v>
      </c>
    </row>
    <row r="30" spans="2:11" ht="17" thickBot="1">
      <c r="B30" s="91" t="s">
        <v>69</v>
      </c>
      <c r="C30" s="75"/>
      <c r="D30" s="75"/>
      <c r="E30" s="75"/>
      <c r="F30" s="133">
        <v>1E-3</v>
      </c>
      <c r="G30" s="133">
        <v>1E-3</v>
      </c>
      <c r="H30" s="133">
        <v>1E-3</v>
      </c>
      <c r="I30" s="133">
        <v>1E-3</v>
      </c>
      <c r="J30" s="133">
        <v>1E-3</v>
      </c>
      <c r="K30" s="134">
        <v>1E-3</v>
      </c>
    </row>
    <row r="31" spans="2:11" ht="17" thickBot="1"/>
    <row r="32" spans="2:11" ht="17" thickBot="1">
      <c r="B32" s="119" t="s">
        <v>91</v>
      </c>
      <c r="C32" s="139">
        <f>'Financial Statements'!C16*-1</f>
        <v>0</v>
      </c>
      <c r="D32" s="139">
        <f>'Financial Statements'!D16*-1</f>
        <v>0</v>
      </c>
      <c r="E32" s="121">
        <f>'Financial Statements'!E16*-1</f>
        <v>213.52</v>
      </c>
      <c r="F32" s="121">
        <f ca="1">F33*'Financial Statements'!F$9</f>
        <v>170.465302665</v>
      </c>
      <c r="G32" s="139">
        <f ca="1">G33*'Financial Statements'!G$9</f>
        <v>0</v>
      </c>
      <c r="H32" s="139">
        <f ca="1">H33*'Financial Statements'!H$9</f>
        <v>0</v>
      </c>
      <c r="I32" s="139">
        <f ca="1">I33*'Financial Statements'!I$9</f>
        <v>0</v>
      </c>
      <c r="J32" s="139">
        <f ca="1">J33*'Financial Statements'!J$9</f>
        <v>0</v>
      </c>
      <c r="K32" s="147">
        <f ca="1">K33*'Financial Statements'!K$9</f>
        <v>0</v>
      </c>
    </row>
    <row r="33" spans="2:11">
      <c r="B33" s="122" t="s">
        <v>181</v>
      </c>
      <c r="C33" s="145">
        <f>C32/'Financial Statements'!C$9</f>
        <v>0</v>
      </c>
      <c r="D33" s="145">
        <f>D32/'Financial Statements'!D$9</f>
        <v>0</v>
      </c>
      <c r="E33" s="145">
        <f>E32/'Financial Statements'!E$9</f>
        <v>9.0911533310804159E-3</v>
      </c>
      <c r="F33" s="145">
        <f ca="1">OFFSET(F33,$C$2,0)</f>
        <v>7.0000000000000001E-3</v>
      </c>
      <c r="G33" s="145">
        <f t="shared" ref="G33:K33" ca="1" si="13">OFFSET(G33,$C$2,0)</f>
        <v>0</v>
      </c>
      <c r="H33" s="145">
        <f t="shared" ca="1" si="13"/>
        <v>0</v>
      </c>
      <c r="I33" s="145">
        <f t="shared" ca="1" si="13"/>
        <v>0</v>
      </c>
      <c r="J33" s="145">
        <f t="shared" ca="1" si="13"/>
        <v>0</v>
      </c>
      <c r="K33" s="146">
        <f t="shared" ca="1" si="13"/>
        <v>0</v>
      </c>
    </row>
    <row r="34" spans="2:11">
      <c r="B34" s="102" t="s">
        <v>67</v>
      </c>
      <c r="F34" s="131">
        <v>7.0000000000000001E-3</v>
      </c>
      <c r="G34" s="131">
        <v>0</v>
      </c>
      <c r="H34" s="131">
        <v>0</v>
      </c>
      <c r="I34" s="131">
        <v>0</v>
      </c>
      <c r="J34" s="131">
        <v>0</v>
      </c>
      <c r="K34" s="132">
        <v>0</v>
      </c>
    </row>
    <row r="35" spans="2:11">
      <c r="B35" s="102" t="s">
        <v>68</v>
      </c>
      <c r="F35" s="131">
        <v>6.0000000000000001E-3</v>
      </c>
      <c r="G35" s="131">
        <v>0</v>
      </c>
      <c r="H35" s="131">
        <v>0</v>
      </c>
      <c r="I35" s="131">
        <v>0</v>
      </c>
      <c r="J35" s="131">
        <v>0</v>
      </c>
      <c r="K35" s="132">
        <v>0</v>
      </c>
    </row>
    <row r="36" spans="2:11" ht="17" thickBot="1">
      <c r="B36" s="91" t="s">
        <v>69</v>
      </c>
      <c r="C36" s="75"/>
      <c r="D36" s="75"/>
      <c r="E36" s="75"/>
      <c r="F36" s="133">
        <v>8.0000000000000002E-3</v>
      </c>
      <c r="G36" s="133">
        <v>0</v>
      </c>
      <c r="H36" s="133">
        <v>0</v>
      </c>
      <c r="I36" s="133">
        <v>0</v>
      </c>
      <c r="J36" s="133">
        <v>0</v>
      </c>
      <c r="K36" s="134">
        <v>0</v>
      </c>
    </row>
    <row r="37" spans="2:11" ht="17" thickBot="1"/>
    <row r="38" spans="2:11" ht="17" thickBot="1">
      <c r="B38" s="119" t="s">
        <v>94</v>
      </c>
      <c r="C38" s="121">
        <f>'Financial Statements'!C19*-1</f>
        <v>73.887</v>
      </c>
      <c r="D38" s="121">
        <f>'Financial Statements'!D19*-1</f>
        <v>64.468999999999994</v>
      </c>
      <c r="E38" s="121">
        <f>'Financial Statements'!E19*-1</f>
        <v>96.826999999999998</v>
      </c>
      <c r="F38" s="121">
        <f ca="1">F39*'Financial Statements'!F$9</f>
        <v>97.408744379999987</v>
      </c>
      <c r="G38" s="148">
        <f ca="1">G39*'Financial Statements'!G$9</f>
        <v>101.1579260571</v>
      </c>
      <c r="H38" s="148">
        <f ca="1">H39*'Financial Statements'!H$9</f>
        <v>105.21633931225938</v>
      </c>
      <c r="I38" s="148">
        <f ca="1">I39*'Financial Statements'!I$9</f>
        <v>109.60888309924043</v>
      </c>
      <c r="J38" s="148">
        <f ca="1">J39*'Financial Statements'!J$9</f>
        <v>114.36309349841332</v>
      </c>
      <c r="K38" s="149">
        <f ca="1">K39*'Financial Statements'!K$9</f>
        <v>119.50943270584192</v>
      </c>
    </row>
    <row r="39" spans="2:11">
      <c r="B39" s="122" t="s">
        <v>181</v>
      </c>
      <c r="C39" s="145">
        <f>C38/'Financial Statements'!C$9</f>
        <v>3.3439129397804216E-3</v>
      </c>
      <c r="D39" s="145">
        <f>D38/'Financial Statements'!D$9</f>
        <v>2.7920007310330906E-3</v>
      </c>
      <c r="E39" s="145">
        <f>E38/'Financial Statements'!E$9</f>
        <v>4.1226541007330616E-3</v>
      </c>
      <c r="F39" s="145">
        <f ca="1">OFFSET(F39,$C$2,0)</f>
        <v>4.0000000000000001E-3</v>
      </c>
      <c r="G39" s="145">
        <f t="shared" ref="G39:K39" ca="1" si="14">OFFSET(G39,$C$2,0)</f>
        <v>4.0000000000000001E-3</v>
      </c>
      <c r="H39" s="145">
        <f t="shared" ca="1" si="14"/>
        <v>4.0000000000000001E-3</v>
      </c>
      <c r="I39" s="145">
        <f t="shared" ca="1" si="14"/>
        <v>4.0000000000000001E-3</v>
      </c>
      <c r="J39" s="145">
        <f t="shared" ca="1" si="14"/>
        <v>4.0000000000000001E-3</v>
      </c>
      <c r="K39" s="146">
        <f t="shared" ca="1" si="14"/>
        <v>4.0000000000000001E-3</v>
      </c>
    </row>
    <row r="40" spans="2:11">
      <c r="B40" s="102" t="s">
        <v>67</v>
      </c>
      <c r="F40" s="131">
        <v>4.0000000000000001E-3</v>
      </c>
      <c r="G40" s="131">
        <v>4.0000000000000001E-3</v>
      </c>
      <c r="H40" s="131">
        <v>4.0000000000000001E-3</v>
      </c>
      <c r="I40" s="131">
        <v>4.0000000000000001E-3</v>
      </c>
      <c r="J40" s="131">
        <v>4.0000000000000001E-3</v>
      </c>
      <c r="K40" s="132">
        <v>4.0000000000000001E-3</v>
      </c>
    </row>
    <row r="41" spans="2:11">
      <c r="B41" s="102" t="s">
        <v>68</v>
      </c>
      <c r="F41" s="131">
        <v>4.0000000000000001E-3</v>
      </c>
      <c r="G41" s="131">
        <v>4.0000000000000001E-3</v>
      </c>
      <c r="H41" s="131">
        <v>4.0000000000000001E-3</v>
      </c>
      <c r="I41" s="131">
        <v>4.0000000000000001E-3</v>
      </c>
      <c r="J41" s="131">
        <v>4.0000000000000001E-3</v>
      </c>
      <c r="K41" s="132">
        <v>4.0000000000000001E-3</v>
      </c>
    </row>
    <row r="42" spans="2:11" ht="17" thickBot="1">
      <c r="B42" s="91" t="s">
        <v>69</v>
      </c>
      <c r="C42" s="75"/>
      <c r="D42" s="75"/>
      <c r="E42" s="75"/>
      <c r="F42" s="133">
        <v>4.0000000000000001E-3</v>
      </c>
      <c r="G42" s="133">
        <v>4.0000000000000001E-3</v>
      </c>
      <c r="H42" s="133">
        <v>4.0000000000000001E-3</v>
      </c>
      <c r="I42" s="133">
        <v>4.0000000000000001E-3</v>
      </c>
      <c r="J42" s="133">
        <v>4.0000000000000001E-3</v>
      </c>
      <c r="K42" s="134">
        <v>4.0000000000000001E-3</v>
      </c>
    </row>
    <row r="43" spans="2:11" ht="17" thickBot="1"/>
    <row r="44" spans="2:11" ht="17" thickBot="1">
      <c r="B44" s="119" t="s">
        <v>95</v>
      </c>
      <c r="C44" s="121">
        <f>'Financial Statements'!C20</f>
        <v>32.29</v>
      </c>
      <c r="D44" s="121">
        <f>'Financial Statements'!D20</f>
        <v>59.764000000000003</v>
      </c>
      <c r="E44" s="121">
        <f>'Financial Statements'!E20</f>
        <v>43.579000000000001</v>
      </c>
      <c r="F44" s="121">
        <f ca="1">F45*'Financial Statements'!F$9</f>
        <v>48.704372189999994</v>
      </c>
      <c r="G44" s="148">
        <f ca="1">G45*'Financial Statements'!G$9</f>
        <v>50.57896302855</v>
      </c>
      <c r="H44" s="148">
        <f ca="1">H45*'Financial Statements'!H$9</f>
        <v>52.608169656129689</v>
      </c>
      <c r="I44" s="148">
        <f ca="1">I45*'Financial Statements'!I$9</f>
        <v>54.804441549620215</v>
      </c>
      <c r="J44" s="148">
        <f ca="1">J45*'Financial Statements'!J$9</f>
        <v>57.18154674920666</v>
      </c>
      <c r="K44" s="149">
        <f ca="1">K45*'Financial Statements'!K$9</f>
        <v>59.754716352920958</v>
      </c>
    </row>
    <row r="45" spans="2:11">
      <c r="B45" s="122" t="s">
        <v>181</v>
      </c>
      <c r="C45" s="145">
        <f>C44/'Financial Statements'!C$9</f>
        <v>1.4613524547689011E-3</v>
      </c>
      <c r="D45" s="145">
        <f>D44/'Financial Statements'!D$9</f>
        <v>2.5882382492277162E-3</v>
      </c>
      <c r="E45" s="145">
        <f>E44/'Financial Statements'!E$9</f>
        <v>1.8554860013823219E-3</v>
      </c>
      <c r="F45" s="145">
        <f ca="1">OFFSET(F45,$C$2,0)</f>
        <v>2E-3</v>
      </c>
      <c r="G45" s="145">
        <f t="shared" ref="G45:K45" ca="1" si="15">OFFSET(G45,$C$2,0)</f>
        <v>2E-3</v>
      </c>
      <c r="H45" s="145">
        <f t="shared" ca="1" si="15"/>
        <v>2E-3</v>
      </c>
      <c r="I45" s="145">
        <f t="shared" ca="1" si="15"/>
        <v>2E-3</v>
      </c>
      <c r="J45" s="145">
        <f t="shared" ca="1" si="15"/>
        <v>2E-3</v>
      </c>
      <c r="K45" s="146">
        <f t="shared" ca="1" si="15"/>
        <v>2E-3</v>
      </c>
    </row>
    <row r="46" spans="2:11">
      <c r="B46" s="102" t="s">
        <v>67</v>
      </c>
      <c r="F46" s="131">
        <v>2E-3</v>
      </c>
      <c r="G46" s="131">
        <v>2E-3</v>
      </c>
      <c r="H46" s="131">
        <v>2E-3</v>
      </c>
      <c r="I46" s="131">
        <v>2E-3</v>
      </c>
      <c r="J46" s="131">
        <v>2E-3</v>
      </c>
      <c r="K46" s="132">
        <v>2E-3</v>
      </c>
    </row>
    <row r="47" spans="2:11">
      <c r="B47" s="102" t="s">
        <v>68</v>
      </c>
      <c r="F47" s="131">
        <v>2E-3</v>
      </c>
      <c r="G47" s="131">
        <v>2E-3</v>
      </c>
      <c r="H47" s="131">
        <v>2E-3</v>
      </c>
      <c r="I47" s="131">
        <v>2E-3</v>
      </c>
      <c r="J47" s="131">
        <v>2E-3</v>
      </c>
      <c r="K47" s="132">
        <v>2E-3</v>
      </c>
    </row>
    <row r="48" spans="2:11" ht="17" thickBot="1">
      <c r="B48" s="91" t="s">
        <v>69</v>
      </c>
      <c r="C48" s="75"/>
      <c r="D48" s="75"/>
      <c r="E48" s="75"/>
      <c r="F48" s="133">
        <v>2E-3</v>
      </c>
      <c r="G48" s="133">
        <v>2E-3</v>
      </c>
      <c r="H48" s="133">
        <v>2E-3</v>
      </c>
      <c r="I48" s="133">
        <v>2E-3</v>
      </c>
      <c r="J48" s="133">
        <v>2E-3</v>
      </c>
      <c r="K48" s="134">
        <v>2E-3</v>
      </c>
    </row>
    <row r="49" spans="2:11" ht="17" thickBot="1"/>
    <row r="50" spans="2:11" ht="17" thickBot="1">
      <c r="B50" s="119" t="s">
        <v>21</v>
      </c>
      <c r="C50" s="121">
        <f>'Financial Statements'!C23*-1</f>
        <v>389.90100000000001</v>
      </c>
      <c r="D50" s="121">
        <f>'Financial Statements'!D23*-1</f>
        <v>425.82400000000001</v>
      </c>
      <c r="E50" s="121">
        <f>'Financial Statements'!E23*-1</f>
        <v>271.892</v>
      </c>
      <c r="F50" s="121">
        <f ca="1">F51*'Financial Statements'!F18</f>
        <v>278.71076985727461</v>
      </c>
      <c r="G50" s="121">
        <f ca="1">G51*'Financial Statements'!G18</f>
        <v>334.5798404338579</v>
      </c>
      <c r="H50" s="121">
        <f ca="1">H51*'Financial Statements'!H18</f>
        <v>356.2888289961374</v>
      </c>
      <c r="I50" s="121">
        <f ca="1">I51*'Financial Statements'!I18</f>
        <v>379.79477993886735</v>
      </c>
      <c r="J50" s="121">
        <f ca="1">J51*'Financial Statements'!J18</f>
        <v>405.27421258500107</v>
      </c>
      <c r="K50" s="126">
        <f ca="1">K51*'Financial Statements'!K18</f>
        <v>432.92291997691109</v>
      </c>
    </row>
    <row r="51" spans="2:11">
      <c r="B51" s="122" t="s">
        <v>185</v>
      </c>
      <c r="C51" s="145">
        <f>C50/'Financial Statements'!C18</f>
        <v>0.24154501683810395</v>
      </c>
      <c r="D51" s="145">
        <f>D50/'Financial Statements'!D18</f>
        <v>0.24373845555916165</v>
      </c>
      <c r="E51" s="145">
        <f>E50/'Financial Statements'!E18</f>
        <v>0.22119139353864586</v>
      </c>
      <c r="F51" s="145">
        <f ca="1">OFFSET(F51,$C$2,0)</f>
        <v>0.21</v>
      </c>
      <c r="G51" s="145">
        <f t="shared" ref="G51:K51" ca="1" si="16">OFFSET(G51,$C$2,0)</f>
        <v>0.21</v>
      </c>
      <c r="H51" s="145">
        <f t="shared" ca="1" si="16"/>
        <v>0.21</v>
      </c>
      <c r="I51" s="145">
        <f t="shared" ca="1" si="16"/>
        <v>0.21</v>
      </c>
      <c r="J51" s="145">
        <f t="shared" ca="1" si="16"/>
        <v>0.21</v>
      </c>
      <c r="K51" s="146">
        <f t="shared" ca="1" si="16"/>
        <v>0.21</v>
      </c>
    </row>
    <row r="52" spans="2:11">
      <c r="B52" s="102" t="s">
        <v>67</v>
      </c>
      <c r="F52" s="131">
        <v>0.21</v>
      </c>
      <c r="G52" s="131">
        <v>0.21</v>
      </c>
      <c r="H52" s="131">
        <v>0.21</v>
      </c>
      <c r="I52" s="131">
        <v>0.21</v>
      </c>
      <c r="J52" s="131">
        <v>0.21</v>
      </c>
      <c r="K52" s="132">
        <v>0.21</v>
      </c>
    </row>
    <row r="53" spans="2:11">
      <c r="B53" s="102" t="s">
        <v>68</v>
      </c>
      <c r="F53" s="131">
        <v>0.21</v>
      </c>
      <c r="G53" s="131">
        <v>0.21</v>
      </c>
      <c r="H53" s="131">
        <v>0.21</v>
      </c>
      <c r="I53" s="131">
        <v>0.21</v>
      </c>
      <c r="J53" s="131">
        <v>0.21</v>
      </c>
      <c r="K53" s="132">
        <v>0.21</v>
      </c>
    </row>
    <row r="54" spans="2:11" ht="17" thickBot="1">
      <c r="B54" s="91" t="s">
        <v>69</v>
      </c>
      <c r="C54" s="75"/>
      <c r="D54" s="75"/>
      <c r="E54" s="75"/>
      <c r="F54" s="133">
        <v>0.21</v>
      </c>
      <c r="G54" s="133">
        <v>0.21</v>
      </c>
      <c r="H54" s="133">
        <v>0.21</v>
      </c>
      <c r="I54" s="133">
        <v>0.21</v>
      </c>
      <c r="J54" s="133">
        <v>0.21</v>
      </c>
      <c r="K54" s="134">
        <v>0.21</v>
      </c>
    </row>
    <row r="55" spans="2:11" ht="17" thickBot="1"/>
    <row r="56" spans="2:11" ht="17" thickBot="1">
      <c r="B56" s="65" t="s">
        <v>186</v>
      </c>
      <c r="C56" s="124"/>
      <c r="D56" s="124"/>
      <c r="E56" s="124"/>
      <c r="F56" s="124"/>
      <c r="G56" s="124"/>
      <c r="H56" s="124"/>
      <c r="I56" s="124"/>
      <c r="J56" s="124"/>
      <c r="K56" s="127"/>
    </row>
    <row r="57" spans="2:11" ht="17" thickBot="1">
      <c r="B57" s="119" t="s">
        <v>187</v>
      </c>
      <c r="C57" s="121">
        <f>'Financial Statements'!C85*-1</f>
        <v>339.63200000000001</v>
      </c>
      <c r="D57" s="121">
        <f>'Financial Statements'!D85*-1</f>
        <v>512.67499999999995</v>
      </c>
      <c r="E57" s="121">
        <f>'Financial Statements'!E85*-1</f>
        <v>567.33900000000006</v>
      </c>
      <c r="F57" s="121">
        <f ca="1">F58*'Financial Statements'!F$9</f>
        <v>608.80465237499993</v>
      </c>
      <c r="G57" s="121">
        <f ca="1">G58*'Financial Statements'!G$9</f>
        <v>758.68444542825</v>
      </c>
      <c r="H57" s="121">
        <f ca="1">H58*'Financial Statements'!H$9</f>
        <v>920.64296898226962</v>
      </c>
      <c r="I57" s="121">
        <f ca="1">I58*'Financial Statements'!I$9</f>
        <v>1096.0888309924044</v>
      </c>
      <c r="J57" s="121">
        <f ca="1">J58*'Financial Statements'!J$9</f>
        <v>1286.5848018571498</v>
      </c>
      <c r="K57" s="126">
        <f ca="1">K58*'Financial Statements'!K$9</f>
        <v>1493.8679088230238</v>
      </c>
    </row>
    <row r="58" spans="2:11">
      <c r="B58" s="122" t="s">
        <v>181</v>
      </c>
      <c r="C58" s="145">
        <f>C57/'Financial Statements'!C$9</f>
        <v>1.5370766705421849E-2</v>
      </c>
      <c r="D58" s="145">
        <f>D57/'Financial Statements'!D$9</f>
        <v>2.220274821669934E-2</v>
      </c>
      <c r="E58" s="145">
        <f>E57/'Financial Statements'!E$9</f>
        <v>2.4155890969004459E-2</v>
      </c>
      <c r="F58" s="145">
        <f ca="1">OFFSET(F58,$C$2,0)</f>
        <v>2.5000000000000001E-2</v>
      </c>
      <c r="G58" s="145">
        <f t="shared" ref="G58:K58" ca="1" si="17">OFFSET(G58,$C$2,0)</f>
        <v>3.0000000000000002E-2</v>
      </c>
      <c r="H58" s="145">
        <f t="shared" ca="1" si="17"/>
        <v>3.5000000000000003E-2</v>
      </c>
      <c r="I58" s="145">
        <f t="shared" ca="1" si="17"/>
        <v>0.04</v>
      </c>
      <c r="J58" s="145">
        <f t="shared" ca="1" si="17"/>
        <v>4.4999999999999998E-2</v>
      </c>
      <c r="K58" s="146">
        <f t="shared" ca="1" si="17"/>
        <v>4.9999999999999996E-2</v>
      </c>
    </row>
    <row r="59" spans="2:11">
      <c r="B59" s="102" t="s">
        <v>67</v>
      </c>
      <c r="F59" s="131">
        <v>2.5000000000000001E-2</v>
      </c>
      <c r="G59" s="131">
        <f>F59+0.005</f>
        <v>3.0000000000000002E-2</v>
      </c>
      <c r="H59" s="131">
        <f t="shared" ref="H59:K59" si="18">G59+0.005</f>
        <v>3.5000000000000003E-2</v>
      </c>
      <c r="I59" s="131">
        <f t="shared" si="18"/>
        <v>0.04</v>
      </c>
      <c r="J59" s="131">
        <f t="shared" si="18"/>
        <v>4.4999999999999998E-2</v>
      </c>
      <c r="K59" s="132">
        <f t="shared" si="18"/>
        <v>4.9999999999999996E-2</v>
      </c>
    </row>
    <row r="60" spans="2:11">
      <c r="B60" s="102" t="s">
        <v>68</v>
      </c>
      <c r="F60" s="131">
        <v>0.03</v>
      </c>
      <c r="G60" s="131">
        <f>F60+0.005</f>
        <v>3.4999999999999996E-2</v>
      </c>
      <c r="H60" s="131">
        <f t="shared" ref="H60:K60" si="19">G60+0.005</f>
        <v>3.9999999999999994E-2</v>
      </c>
      <c r="I60" s="131">
        <f t="shared" si="19"/>
        <v>4.4999999999999991E-2</v>
      </c>
      <c r="J60" s="131">
        <f t="shared" si="19"/>
        <v>4.9999999999999989E-2</v>
      </c>
      <c r="K60" s="132">
        <f t="shared" si="19"/>
        <v>5.4999999999999986E-2</v>
      </c>
    </row>
    <row r="61" spans="2:11" ht="17" thickBot="1">
      <c r="B61" s="91" t="s">
        <v>69</v>
      </c>
      <c r="C61" s="75"/>
      <c r="D61" s="75"/>
      <c r="E61" s="75"/>
      <c r="F61" s="133">
        <v>0.02</v>
      </c>
      <c r="G61" s="133">
        <f>F61+0.005</f>
        <v>2.5000000000000001E-2</v>
      </c>
      <c r="H61" s="133">
        <f t="shared" ref="H61:K61" si="20">G61+0.005</f>
        <v>3.0000000000000002E-2</v>
      </c>
      <c r="I61" s="133">
        <f t="shared" si="20"/>
        <v>3.5000000000000003E-2</v>
      </c>
      <c r="J61" s="133">
        <f t="shared" si="20"/>
        <v>0.04</v>
      </c>
      <c r="K61" s="134">
        <f t="shared" si="20"/>
        <v>4.4999999999999998E-2</v>
      </c>
    </row>
    <row r="62" spans="2:11" ht="17" thickBot="1"/>
    <row r="63" spans="2:11" ht="17" thickBot="1">
      <c r="B63" s="119" t="s">
        <v>188</v>
      </c>
      <c r="C63" s="121">
        <f>'Financial Statements'!C31</f>
        <v>2188.8679999999999</v>
      </c>
      <c r="D63" s="121">
        <f>'Financial Statements'!D31</f>
        <v>2223.431</v>
      </c>
      <c r="E63" s="121">
        <f>'Financial Statements'!E31</f>
        <v>2182.8560000000002</v>
      </c>
      <c r="F63" s="121">
        <f ca="1">F64*'Financial Statements'!F$9</f>
        <v>2191.6967485499995</v>
      </c>
      <c r="G63" s="121">
        <f ca="1">G64*'Financial Statements'!G$9</f>
        <v>2276.0533362847495</v>
      </c>
      <c r="H63" s="121">
        <f ca="1">H64*'Financial Statements'!H$9</f>
        <v>2367.3676345258359</v>
      </c>
      <c r="I63" s="121">
        <f ca="1">I64*'Financial Statements'!I$9</f>
        <v>2466.1998697329095</v>
      </c>
      <c r="J63" s="121">
        <f ca="1">J64*'Financial Statements'!J$9</f>
        <v>2573.1696037142997</v>
      </c>
      <c r="K63" s="126">
        <f ca="1">K64*'Financial Statements'!K$9</f>
        <v>2688.9622358814431</v>
      </c>
    </row>
    <row r="64" spans="2:11">
      <c r="B64" s="122" t="s">
        <v>181</v>
      </c>
      <c r="C64" s="145">
        <f>C63/'Financial Statements'!C$9</f>
        <v>9.9061865127441778E-2</v>
      </c>
      <c r="D64" s="145">
        <f>D63/'Financial Statements'!D$9</f>
        <v>9.6291566138789753E-2</v>
      </c>
      <c r="E64" s="145">
        <f>E63/'Financial Statements'!E$9</f>
        <v>9.2940607885298204E-2</v>
      </c>
      <c r="F64" s="145">
        <f ca="1">OFFSET(F64,$C$2,0)</f>
        <v>0.09</v>
      </c>
      <c r="G64" s="145">
        <f t="shared" ref="G64:K64" ca="1" si="21">OFFSET(G64,$C$2,0)</f>
        <v>0.09</v>
      </c>
      <c r="H64" s="145">
        <f t="shared" ca="1" si="21"/>
        <v>0.09</v>
      </c>
      <c r="I64" s="145">
        <f t="shared" ca="1" si="21"/>
        <v>0.09</v>
      </c>
      <c r="J64" s="145">
        <f t="shared" ca="1" si="21"/>
        <v>0.09</v>
      </c>
      <c r="K64" s="146">
        <f t="shared" ca="1" si="21"/>
        <v>0.09</v>
      </c>
    </row>
    <row r="65" spans="2:11">
      <c r="B65" s="102" t="s">
        <v>67</v>
      </c>
      <c r="F65" s="131">
        <v>0.09</v>
      </c>
      <c r="G65" s="131">
        <v>0.09</v>
      </c>
      <c r="H65" s="131">
        <v>0.09</v>
      </c>
      <c r="I65" s="131">
        <v>0.09</v>
      </c>
      <c r="J65" s="131">
        <v>0.09</v>
      </c>
      <c r="K65" s="132">
        <v>0.09</v>
      </c>
    </row>
    <row r="66" spans="2:11">
      <c r="B66" s="102" t="s">
        <v>68</v>
      </c>
      <c r="F66" s="131">
        <v>0.09</v>
      </c>
      <c r="G66" s="131">
        <v>0.09</v>
      </c>
      <c r="H66" s="131">
        <v>0.09</v>
      </c>
      <c r="I66" s="131">
        <v>0.09</v>
      </c>
      <c r="J66" s="131">
        <v>0.09</v>
      </c>
      <c r="K66" s="132">
        <v>0.09</v>
      </c>
    </row>
    <row r="67" spans="2:11" ht="17" thickBot="1">
      <c r="B67" s="91" t="s">
        <v>69</v>
      </c>
      <c r="C67" s="75"/>
      <c r="D67" s="75"/>
      <c r="E67" s="75"/>
      <c r="F67" s="133">
        <v>0.09</v>
      </c>
      <c r="G67" s="133">
        <v>0.09</v>
      </c>
      <c r="H67" s="133">
        <v>0.09</v>
      </c>
      <c r="I67" s="133">
        <v>0.09</v>
      </c>
      <c r="J67" s="133">
        <v>0.09</v>
      </c>
      <c r="K67" s="134">
        <v>0.09</v>
      </c>
    </row>
    <row r="68" spans="2:11" ht="17" thickBot="1"/>
    <row r="69" spans="2:11" ht="17" thickBot="1">
      <c r="B69" s="119" t="s">
        <v>189</v>
      </c>
      <c r="C69" s="121">
        <f>'Financial Statements'!C32</f>
        <v>4441.6490000000003</v>
      </c>
      <c r="D69" s="121">
        <f>'Financial Statements'!D32</f>
        <v>4676.6859999999997</v>
      </c>
      <c r="E69" s="121">
        <f>'Financial Statements'!E32</f>
        <v>5514.4269999999997</v>
      </c>
      <c r="F69" s="121">
        <f ca="1">-F70*'Financial Statements'!F$11</f>
        <v>5412.2733596137496</v>
      </c>
      <c r="G69" s="121">
        <f ca="1">-G70*'Financial Statements'!G$11</f>
        <v>5630.4501643381855</v>
      </c>
      <c r="H69" s="121">
        <f ca="1">-H70*'Financial Statements'!H$11</f>
        <v>5866.3369983550228</v>
      </c>
      <c r="I69" s="121">
        <f ca="1">-I70*'Financial Statements'!I$11</f>
        <v>6121.3820988848311</v>
      </c>
      <c r="J69" s="121">
        <f ca="1">-J70*'Financial Statements'!J$11</f>
        <v>6397.1855425674967</v>
      </c>
      <c r="K69" s="126">
        <f ca="1">-K70*'Financial Statements'!K$11</f>
        <v>6695.5159673447961</v>
      </c>
    </row>
    <row r="70" spans="2:11">
      <c r="B70" s="122" t="s">
        <v>190</v>
      </c>
      <c r="C70" s="145">
        <f>-C69/'Financial Statements'!C$11</f>
        <v>0.309396038651509</v>
      </c>
      <c r="D70" s="145">
        <f>-D69/'Financial Statements'!D$11</f>
        <v>0.31599362105435846</v>
      </c>
      <c r="E70" s="145">
        <f>-E69/'Financial Statements'!E$11</f>
        <v>0.36853865887711745</v>
      </c>
      <c r="F70" s="145">
        <f ca="1">OFFSET(F70,$C$2,0)</f>
        <v>0.35</v>
      </c>
      <c r="G70" s="145">
        <f t="shared" ref="G70:K70" ca="1" si="22">OFFSET(G70,$C$2,0)</f>
        <v>0.35199999999999998</v>
      </c>
      <c r="H70" s="145">
        <f t="shared" ca="1" si="22"/>
        <v>0.35399999999999998</v>
      </c>
      <c r="I70" s="145">
        <f t="shared" ca="1" si="22"/>
        <v>0.35599999999999998</v>
      </c>
      <c r="J70" s="145">
        <f t="shared" ca="1" si="22"/>
        <v>0.35799999999999998</v>
      </c>
      <c r="K70" s="146">
        <f t="shared" ca="1" si="22"/>
        <v>0.36</v>
      </c>
    </row>
    <row r="71" spans="2:11">
      <c r="B71" s="102" t="s">
        <v>67</v>
      </c>
      <c r="F71" s="131">
        <v>0.35</v>
      </c>
      <c r="G71" s="131">
        <f>F71+0.002</f>
        <v>0.35199999999999998</v>
      </c>
      <c r="H71" s="131">
        <f t="shared" ref="H71:K71" si="23">G71+0.002</f>
        <v>0.35399999999999998</v>
      </c>
      <c r="I71" s="131">
        <f t="shared" si="23"/>
        <v>0.35599999999999998</v>
      </c>
      <c r="J71" s="131">
        <f t="shared" si="23"/>
        <v>0.35799999999999998</v>
      </c>
      <c r="K71" s="132">
        <f t="shared" si="23"/>
        <v>0.36</v>
      </c>
    </row>
    <row r="72" spans="2:11">
      <c r="B72" s="102" t="s">
        <v>68</v>
      </c>
      <c r="F72" s="131">
        <v>0.35</v>
      </c>
      <c r="G72" s="131">
        <f t="shared" ref="G72:K73" si="24">F72+0.002</f>
        <v>0.35199999999999998</v>
      </c>
      <c r="H72" s="131">
        <f t="shared" si="24"/>
        <v>0.35399999999999998</v>
      </c>
      <c r="I72" s="131">
        <f t="shared" si="24"/>
        <v>0.35599999999999998</v>
      </c>
      <c r="J72" s="131">
        <f t="shared" si="24"/>
        <v>0.35799999999999998</v>
      </c>
      <c r="K72" s="132">
        <f t="shared" si="24"/>
        <v>0.36</v>
      </c>
    </row>
    <row r="73" spans="2:11" ht="17" thickBot="1">
      <c r="B73" s="91" t="s">
        <v>69</v>
      </c>
      <c r="C73" s="75"/>
      <c r="D73" s="75"/>
      <c r="E73" s="75"/>
      <c r="F73" s="133">
        <v>0.35</v>
      </c>
      <c r="G73" s="133">
        <f t="shared" si="24"/>
        <v>0.35199999999999998</v>
      </c>
      <c r="H73" s="133">
        <f t="shared" si="24"/>
        <v>0.35399999999999998</v>
      </c>
      <c r="I73" s="133">
        <f t="shared" si="24"/>
        <v>0.35599999999999998</v>
      </c>
      <c r="J73" s="133">
        <f t="shared" si="24"/>
        <v>0.35799999999999998</v>
      </c>
      <c r="K73" s="134">
        <f t="shared" si="24"/>
        <v>0.36</v>
      </c>
    </row>
    <row r="74" spans="2:11" ht="17" thickBot="1"/>
    <row r="75" spans="2:11" ht="17" thickBot="1">
      <c r="B75" s="119" t="s">
        <v>106</v>
      </c>
      <c r="C75" s="121">
        <f>'Financial Statements'!C33</f>
        <v>1532.759</v>
      </c>
      <c r="D75" s="121">
        <f>'Financial Statements'!D33</f>
        <v>1603.7280000000001</v>
      </c>
      <c r="E75" s="121">
        <f>'Financial Statements'!E33</f>
        <v>1675.31</v>
      </c>
      <c r="F75" s="121">
        <f ca="1">F76*'Financial Statements'!F$9</f>
        <v>1704.6530266499999</v>
      </c>
      <c r="G75" s="121">
        <f ca="1">G76*'Financial Statements'!G$9</f>
        <v>1770.2637059992501</v>
      </c>
      <c r="H75" s="121">
        <f ca="1">H76*'Financial Statements'!H$9</f>
        <v>1841.2859379645392</v>
      </c>
      <c r="I75" s="121">
        <f ca="1">I76*'Financial Statements'!I$9</f>
        <v>1918.1554542367076</v>
      </c>
      <c r="J75" s="121">
        <f ca="1">J76*'Financial Statements'!J$9</f>
        <v>2001.3541362222334</v>
      </c>
      <c r="K75" s="126">
        <f ca="1">K76*'Financial Statements'!K$9</f>
        <v>2091.4150723522339</v>
      </c>
    </row>
    <row r="76" spans="2:11">
      <c r="B76" s="122" t="s">
        <v>181</v>
      </c>
      <c r="C76" s="145">
        <f>C75/'Financial Statements'!C$9</f>
        <v>6.936826036603054E-2</v>
      </c>
      <c r="D76" s="145">
        <f>D75/'Financial Statements'!D$9</f>
        <v>6.9453687018229487E-2</v>
      </c>
      <c r="E76" s="145">
        <f>E75/'Financial Statements'!E$9</f>
        <v>7.1330554922687944E-2</v>
      </c>
      <c r="F76" s="145">
        <f ca="1">OFFSET(F76,$C$2,0)</f>
        <v>7.0000000000000007E-2</v>
      </c>
      <c r="G76" s="145">
        <f t="shared" ref="G76:K76" ca="1" si="25">OFFSET(G76,$C$2,0)</f>
        <v>7.0000000000000007E-2</v>
      </c>
      <c r="H76" s="145">
        <f t="shared" ca="1" si="25"/>
        <v>7.0000000000000007E-2</v>
      </c>
      <c r="I76" s="145">
        <f t="shared" ca="1" si="25"/>
        <v>7.0000000000000007E-2</v>
      </c>
      <c r="J76" s="145">
        <f t="shared" ca="1" si="25"/>
        <v>7.0000000000000007E-2</v>
      </c>
      <c r="K76" s="146">
        <f t="shared" ca="1" si="25"/>
        <v>7.0000000000000007E-2</v>
      </c>
    </row>
    <row r="77" spans="2:11">
      <c r="B77" s="102" t="s">
        <v>67</v>
      </c>
      <c r="F77" s="131">
        <v>7.0000000000000007E-2</v>
      </c>
      <c r="G77" s="131">
        <v>7.0000000000000007E-2</v>
      </c>
      <c r="H77" s="131">
        <v>7.0000000000000007E-2</v>
      </c>
      <c r="I77" s="131">
        <v>7.0000000000000007E-2</v>
      </c>
      <c r="J77" s="131">
        <v>7.0000000000000007E-2</v>
      </c>
      <c r="K77" s="132">
        <v>7.0000000000000007E-2</v>
      </c>
    </row>
    <row r="78" spans="2:11">
      <c r="B78" s="102" t="s">
        <v>68</v>
      </c>
      <c r="F78" s="131">
        <v>7.0000000000000007E-2</v>
      </c>
      <c r="G78" s="131">
        <v>7.0000000000000007E-2</v>
      </c>
      <c r="H78" s="131">
        <v>7.0000000000000007E-2</v>
      </c>
      <c r="I78" s="131">
        <v>7.0000000000000007E-2</v>
      </c>
      <c r="J78" s="131">
        <v>7.0000000000000007E-2</v>
      </c>
      <c r="K78" s="132">
        <v>7.0000000000000007E-2</v>
      </c>
    </row>
    <row r="79" spans="2:11" ht="17" thickBot="1">
      <c r="B79" s="91" t="s">
        <v>69</v>
      </c>
      <c r="C79" s="75"/>
      <c r="D79" s="75"/>
      <c r="E79" s="75"/>
      <c r="F79" s="133">
        <v>7.0000000000000007E-2</v>
      </c>
      <c r="G79" s="133">
        <v>7.0000000000000007E-2</v>
      </c>
      <c r="H79" s="133">
        <v>7.0000000000000007E-2</v>
      </c>
      <c r="I79" s="133">
        <v>7.0000000000000007E-2</v>
      </c>
      <c r="J79" s="133">
        <v>7.0000000000000007E-2</v>
      </c>
      <c r="K79" s="134">
        <v>7.0000000000000007E-2</v>
      </c>
    </row>
    <row r="80" spans="2:11" ht="17" thickBot="1"/>
    <row r="81" spans="2:11" ht="17" thickBot="1">
      <c r="B81" s="119" t="s">
        <v>191</v>
      </c>
      <c r="C81" s="121">
        <f>'Financial Statements'!C44</f>
        <v>5456.55</v>
      </c>
      <c r="D81" s="121">
        <f>'Financial Statements'!D44</f>
        <v>5499.5360000000001</v>
      </c>
      <c r="E81" s="121">
        <f>'Financial Statements'!E44</f>
        <v>5923.6840000000002</v>
      </c>
      <c r="F81" s="121">
        <f ca="1">-F82*'Financial Statements'!F$11</f>
        <v>6185.4552681300001</v>
      </c>
      <c r="G81" s="121">
        <f ca="1">-G82*'Financial Statements'!G$11</f>
        <v>6398.2388231115756</v>
      </c>
      <c r="H81" s="121">
        <f ca="1">-H82*'Financial Statements'!H$11</f>
        <v>6628.6293766723429</v>
      </c>
      <c r="I81" s="121">
        <f ca="1">-I82*'Financial Statements'!I$11</f>
        <v>6877.9574144773396</v>
      </c>
      <c r="J81" s="121">
        <f ca="1">-J82*'Financial Statements'!J$11</f>
        <v>7147.6933436508352</v>
      </c>
      <c r="K81" s="126">
        <f ca="1">-K82*'Financial Statements'!K$11</f>
        <v>7439.4621859386625</v>
      </c>
    </row>
    <row r="82" spans="2:11">
      <c r="B82" s="122" t="s">
        <v>190</v>
      </c>
      <c r="C82" s="145">
        <f>-C81/'Financial Statements'!C$11</f>
        <v>0.38009193313201728</v>
      </c>
      <c r="D82" s="145">
        <f>-D81/'Financial Statements'!D$11</f>
        <v>0.37159182693873449</v>
      </c>
      <c r="E82" s="145">
        <f>-E81/'Financial Statements'!E$11</f>
        <v>0.39589000941926311</v>
      </c>
      <c r="F82" s="145">
        <f ca="1">OFFSET(F82,$C$2,0)</f>
        <v>0.4</v>
      </c>
      <c r="G82" s="145">
        <f t="shared" ref="G82:K82" ca="1" si="26">OFFSET(G82,$C$2,0)</f>
        <v>0.4</v>
      </c>
      <c r="H82" s="145">
        <f t="shared" ca="1" si="26"/>
        <v>0.4</v>
      </c>
      <c r="I82" s="145">
        <f t="shared" ca="1" si="26"/>
        <v>0.4</v>
      </c>
      <c r="J82" s="145">
        <f t="shared" ca="1" si="26"/>
        <v>0.4</v>
      </c>
      <c r="K82" s="146">
        <f t="shared" ca="1" si="26"/>
        <v>0.4</v>
      </c>
    </row>
    <row r="83" spans="2:11">
      <c r="B83" s="102" t="s">
        <v>67</v>
      </c>
      <c r="F83" s="131">
        <v>0.4</v>
      </c>
      <c r="G83" s="131">
        <v>0.4</v>
      </c>
      <c r="H83" s="131">
        <v>0.4</v>
      </c>
      <c r="I83" s="131">
        <v>0.4</v>
      </c>
      <c r="J83" s="131">
        <v>0.4</v>
      </c>
      <c r="K83" s="132">
        <v>0.4</v>
      </c>
    </row>
    <row r="84" spans="2:11">
      <c r="B84" s="102" t="s">
        <v>68</v>
      </c>
      <c r="F84" s="131">
        <v>0.4</v>
      </c>
      <c r="G84" s="131">
        <v>0.4</v>
      </c>
      <c r="H84" s="131">
        <v>0.4</v>
      </c>
      <c r="I84" s="131">
        <v>0.4</v>
      </c>
      <c r="J84" s="131">
        <v>0.4</v>
      </c>
      <c r="K84" s="132">
        <v>0.4</v>
      </c>
    </row>
    <row r="85" spans="2:11" ht="17" thickBot="1">
      <c r="B85" s="91" t="s">
        <v>69</v>
      </c>
      <c r="C85" s="75"/>
      <c r="D85" s="75"/>
      <c r="E85" s="75"/>
      <c r="F85" s="133">
        <v>0.4</v>
      </c>
      <c r="G85" s="133">
        <v>0.4</v>
      </c>
      <c r="H85" s="133">
        <v>0.4</v>
      </c>
      <c r="I85" s="133">
        <v>0.4</v>
      </c>
      <c r="J85" s="133">
        <v>0.4</v>
      </c>
      <c r="K85" s="134">
        <v>0.4</v>
      </c>
    </row>
    <row r="86" spans="2:11" ht="17" thickBot="1"/>
    <row r="87" spans="2:11" ht="17" thickBot="1">
      <c r="B87" s="119" t="s">
        <v>118</v>
      </c>
      <c r="C87" s="121">
        <f>'Financial Statements'!C46</f>
        <v>1851.34</v>
      </c>
      <c r="D87" s="121">
        <f>'Financial Statements'!D46</f>
        <v>1839.64</v>
      </c>
      <c r="E87" s="121">
        <f>'Financial Statements'!E46</f>
        <v>1925.636</v>
      </c>
      <c r="F87" s="121">
        <f ca="1">F88*'Financial Statements'!F$9</f>
        <v>1948.1748875999999</v>
      </c>
      <c r="G87" s="121">
        <f ca="1">G88*'Financial Statements'!G$9</f>
        <v>2023.1585211419999</v>
      </c>
      <c r="H87" s="121">
        <f ca="1">H88*'Financial Statements'!H$9</f>
        <v>2104.3267862451876</v>
      </c>
      <c r="I87" s="121">
        <f ca="1">I88*'Financial Statements'!I$9</f>
        <v>2192.1776619848088</v>
      </c>
      <c r="J87" s="121">
        <f ca="1">J88*'Financial Statements'!J$9</f>
        <v>2287.2618699682666</v>
      </c>
      <c r="K87" s="126">
        <f ca="1">K88*'Financial Statements'!K$9</f>
        <v>2390.1886541168383</v>
      </c>
    </row>
    <row r="88" spans="2:11">
      <c r="B88" s="122" t="s">
        <v>181</v>
      </c>
      <c r="C88" s="145">
        <f>C87/'Financial Statements'!C$9</f>
        <v>8.3786319405755885E-2</v>
      </c>
      <c r="D88" s="145">
        <f>D87/'Financial Statements'!D$9</f>
        <v>7.9670480771187949E-2</v>
      </c>
      <c r="E88" s="145">
        <f>E87/'Financial Statements'!E$9</f>
        <v>8.1988816672201037E-2</v>
      </c>
      <c r="F88" s="145">
        <f ca="1">OFFSET(F88,$C$2,0)</f>
        <v>0.08</v>
      </c>
      <c r="G88" s="145">
        <f t="shared" ref="G88:K88" ca="1" si="27">OFFSET(G88,$C$2,0)</f>
        <v>0.08</v>
      </c>
      <c r="H88" s="145">
        <f t="shared" ca="1" si="27"/>
        <v>0.08</v>
      </c>
      <c r="I88" s="145">
        <f t="shared" ca="1" si="27"/>
        <v>0.08</v>
      </c>
      <c r="J88" s="145">
        <f t="shared" ca="1" si="27"/>
        <v>0.08</v>
      </c>
      <c r="K88" s="146">
        <f t="shared" ca="1" si="27"/>
        <v>0.08</v>
      </c>
    </row>
    <row r="89" spans="2:11">
      <c r="B89" s="102" t="s">
        <v>67</v>
      </c>
      <c r="F89" s="131">
        <v>0.08</v>
      </c>
      <c r="G89" s="131">
        <v>0.08</v>
      </c>
      <c r="H89" s="131">
        <v>0.08</v>
      </c>
      <c r="I89" s="131">
        <v>0.08</v>
      </c>
      <c r="J89" s="131">
        <v>0.08</v>
      </c>
      <c r="K89" s="132">
        <v>0.08</v>
      </c>
    </row>
    <row r="90" spans="2:11">
      <c r="B90" s="102" t="s">
        <v>68</v>
      </c>
      <c r="F90" s="131">
        <v>0.08</v>
      </c>
      <c r="G90" s="131">
        <v>0.08</v>
      </c>
      <c r="H90" s="131">
        <v>0.08</v>
      </c>
      <c r="I90" s="131">
        <v>0.08</v>
      </c>
      <c r="J90" s="131">
        <v>0.08</v>
      </c>
      <c r="K90" s="132">
        <v>0.08</v>
      </c>
    </row>
    <row r="91" spans="2:11" ht="17" thickBot="1">
      <c r="B91" s="91" t="s">
        <v>69</v>
      </c>
      <c r="C91" s="75"/>
      <c r="D91" s="75"/>
      <c r="E91" s="75"/>
      <c r="F91" s="133">
        <v>0.08</v>
      </c>
      <c r="G91" s="133">
        <v>0.08</v>
      </c>
      <c r="H91" s="133">
        <v>0.08</v>
      </c>
      <c r="I91" s="133">
        <v>0.08</v>
      </c>
      <c r="J91" s="133">
        <v>0.08</v>
      </c>
      <c r="K91" s="134">
        <v>0.08</v>
      </c>
    </row>
    <row r="92" spans="2:11" ht="17" thickBot="1"/>
    <row r="93" spans="2:11" ht="17" thickBot="1">
      <c r="B93" s="65" t="s">
        <v>192</v>
      </c>
      <c r="C93" s="124"/>
      <c r="D93" s="124"/>
      <c r="E93" s="124"/>
      <c r="F93" s="124"/>
      <c r="G93" s="124"/>
      <c r="H93" s="124"/>
      <c r="I93" s="124"/>
      <c r="J93" s="124"/>
      <c r="K93" s="127"/>
    </row>
    <row r="94" spans="2:11" ht="17" thickBot="1">
      <c r="B94" s="119" t="s">
        <v>193</v>
      </c>
      <c r="C94" s="121">
        <v>506.23200000000003</v>
      </c>
      <c r="D94" s="121">
        <v>533.11800000000005</v>
      </c>
      <c r="E94" s="121">
        <v>556.65099999999995</v>
      </c>
      <c r="F94" s="121">
        <f ca="1">F95*'Financial Statements'!F$24</f>
        <v>619.86298008073868</v>
      </c>
      <c r="G94" s="121">
        <f ca="1">G95*'Financial Statements'!G$24</f>
        <v>752.0288861307298</v>
      </c>
      <c r="H94" s="121">
        <f ca="1">H95*'Financial Statements'!H$24</f>
        <v>804.82279547369433</v>
      </c>
      <c r="I94" s="121">
        <f ca="1">I95*'Financial Statements'!I$24</f>
        <v>862.15196190473227</v>
      </c>
      <c r="J94" s="121">
        <f ca="1">J95*'Financial Statements'!J$24</f>
        <v>924.47550937445192</v>
      </c>
      <c r="K94" s="126">
        <f ca="1">K95*'Financial Statements'!K$24</f>
        <v>992.30399923755351</v>
      </c>
    </row>
    <row r="95" spans="2:11">
      <c r="B95" s="122" t="s">
        <v>194</v>
      </c>
      <c r="C95" s="145">
        <f>C94/'Financial Statements'!C$24</f>
        <v>0.42803150085651626</v>
      </c>
      <c r="D95" s="145">
        <f>D94/'Financial Statements'!D$24</f>
        <v>0.40494362427118691</v>
      </c>
      <c r="E95" s="145">
        <f>E94/'Financial Statements'!E$24</f>
        <v>0.61571261708086533</v>
      </c>
      <c r="F95" s="145">
        <f ca="1">OFFSET(F95,$C$2,0)</f>
        <v>0.62</v>
      </c>
      <c r="G95" s="145">
        <f t="shared" ref="G95:K95" ca="1" si="28">OFFSET(G95,$C$2,0)</f>
        <v>0.62249999999999994</v>
      </c>
      <c r="H95" s="145">
        <f t="shared" ca="1" si="28"/>
        <v>0.62499999999999989</v>
      </c>
      <c r="I95" s="145">
        <f t="shared" ca="1" si="28"/>
        <v>0.62749999999999984</v>
      </c>
      <c r="J95" s="145">
        <f t="shared" ca="1" si="28"/>
        <v>0.62999999999999978</v>
      </c>
      <c r="K95" s="146">
        <f t="shared" ca="1" si="28"/>
        <v>0.63249999999999973</v>
      </c>
    </row>
    <row r="96" spans="2:11">
      <c r="B96" s="102" t="s">
        <v>67</v>
      </c>
      <c r="F96" s="131">
        <v>0.62</v>
      </c>
      <c r="G96" s="131">
        <f>F96+0.0025</f>
        <v>0.62249999999999994</v>
      </c>
      <c r="H96" s="131">
        <f t="shared" ref="H96:K96" si="29">G96+0.0025</f>
        <v>0.62499999999999989</v>
      </c>
      <c r="I96" s="131">
        <f t="shared" si="29"/>
        <v>0.62749999999999984</v>
      </c>
      <c r="J96" s="131">
        <f t="shared" si="29"/>
        <v>0.62999999999999978</v>
      </c>
      <c r="K96" s="132">
        <f t="shared" si="29"/>
        <v>0.63249999999999973</v>
      </c>
    </row>
    <row r="97" spans="2:11">
      <c r="B97" s="102" t="s">
        <v>68</v>
      </c>
      <c r="F97" s="131">
        <v>0.63</v>
      </c>
      <c r="G97" s="131">
        <f>F97+0.0025</f>
        <v>0.63249999999999995</v>
      </c>
      <c r="H97" s="131">
        <f t="shared" ref="H97:K97" si="30">G97+0.0025</f>
        <v>0.6349999999999999</v>
      </c>
      <c r="I97" s="131">
        <f t="shared" si="30"/>
        <v>0.63749999999999984</v>
      </c>
      <c r="J97" s="131">
        <f t="shared" si="30"/>
        <v>0.63999999999999979</v>
      </c>
      <c r="K97" s="132">
        <f t="shared" si="30"/>
        <v>0.64249999999999974</v>
      </c>
    </row>
    <row r="98" spans="2:11" ht="17" thickBot="1">
      <c r="B98" s="91" t="s">
        <v>69</v>
      </c>
      <c r="C98" s="75"/>
      <c r="D98" s="75"/>
      <c r="E98" s="75"/>
      <c r="F98" s="133">
        <v>0.61</v>
      </c>
      <c r="G98" s="133">
        <f>F98+0.0025</f>
        <v>0.61249999999999993</v>
      </c>
      <c r="H98" s="133">
        <f t="shared" ref="H98:K98" si="31">G98+0.0025</f>
        <v>0.61499999999999988</v>
      </c>
      <c r="I98" s="133">
        <f t="shared" si="31"/>
        <v>0.61749999999999983</v>
      </c>
      <c r="J98" s="133">
        <f t="shared" si="31"/>
        <v>0.61999999999999977</v>
      </c>
      <c r="K98" s="134">
        <f t="shared" si="31"/>
        <v>0.62249999999999972</v>
      </c>
    </row>
    <row r="99" spans="2:11" ht="17" thickBot="1"/>
    <row r="100" spans="2:11" ht="17" thickBot="1">
      <c r="B100" s="119" t="s">
        <v>163</v>
      </c>
      <c r="C100" s="121">
        <v>221.154</v>
      </c>
      <c r="D100" s="121">
        <v>259.71899999999999</v>
      </c>
      <c r="E100" s="121">
        <v>148.91399999999999</v>
      </c>
      <c r="F100" s="121">
        <f ca="1">F101*'Financial Statements'!F$24</f>
        <v>159.96464002083579</v>
      </c>
      <c r="G100" s="121">
        <f ca="1">G101*'Financial Statements'!G$24</f>
        <v>193.29256510990646</v>
      </c>
      <c r="H100" s="121">
        <f ca="1">H101*'Financial Statements'!H$24</f>
        <v>206.03463564126579</v>
      </c>
      <c r="I100" s="121">
        <f ca="1">I101*'Financial Statements'!I$24</f>
        <v>219.83157594383619</v>
      </c>
      <c r="J100" s="121">
        <f ca="1">J101*'Financial Statements'!J$24</f>
        <v>234.78743095224186</v>
      </c>
      <c r="K100" s="126">
        <f ca="1">K101*'Financial Statements'!K$24</f>
        <v>251.01761245534962</v>
      </c>
    </row>
    <row r="101" spans="2:11">
      <c r="B101" s="122" t="s">
        <v>194</v>
      </c>
      <c r="C101" s="145">
        <f>C100/'Financial Statements'!C$24</f>
        <v>0.18699110001031541</v>
      </c>
      <c r="D101" s="145">
        <f>D100/'Financial Statements'!D$24</f>
        <v>0.19727631247132602</v>
      </c>
      <c r="E101" s="145">
        <f>E100/'Financial Statements'!E$24</f>
        <v>0.16471402846663344</v>
      </c>
      <c r="F101" s="145">
        <f ca="1">OFFSET(F101,$C$2,0)</f>
        <v>0.16</v>
      </c>
      <c r="G101" s="145">
        <f t="shared" ref="G101:K101" ca="1" si="32">OFFSET(G101,$C$2,0)</f>
        <v>0.16</v>
      </c>
      <c r="H101" s="145">
        <f t="shared" ca="1" si="32"/>
        <v>0.16</v>
      </c>
      <c r="I101" s="145">
        <f t="shared" ca="1" si="32"/>
        <v>0.16</v>
      </c>
      <c r="J101" s="145">
        <f t="shared" ca="1" si="32"/>
        <v>0.16</v>
      </c>
      <c r="K101" s="146">
        <f t="shared" ca="1" si="32"/>
        <v>0.16</v>
      </c>
    </row>
    <row r="102" spans="2:11">
      <c r="B102" s="102" t="s">
        <v>67</v>
      </c>
      <c r="F102" s="131">
        <v>0.16</v>
      </c>
      <c r="G102" s="131">
        <v>0.16</v>
      </c>
      <c r="H102" s="131">
        <v>0.16</v>
      </c>
      <c r="I102" s="131">
        <v>0.16</v>
      </c>
      <c r="J102" s="131">
        <v>0.16</v>
      </c>
      <c r="K102" s="132">
        <v>0.16</v>
      </c>
    </row>
    <row r="103" spans="2:11">
      <c r="B103" s="102" t="s">
        <v>68</v>
      </c>
      <c r="F103" s="131">
        <v>0.16</v>
      </c>
      <c r="G103" s="131">
        <v>0.16</v>
      </c>
      <c r="H103" s="131">
        <v>0.16</v>
      </c>
      <c r="I103" s="131">
        <v>0.16</v>
      </c>
      <c r="J103" s="131">
        <v>0.16</v>
      </c>
      <c r="K103" s="132">
        <v>0.16</v>
      </c>
    </row>
    <row r="104" spans="2:11" ht="17" thickBot="1">
      <c r="B104" s="91" t="s">
        <v>69</v>
      </c>
      <c r="C104" s="75"/>
      <c r="D104" s="75"/>
      <c r="E104" s="75"/>
      <c r="F104" s="133">
        <v>0.16</v>
      </c>
      <c r="G104" s="133">
        <v>0.16</v>
      </c>
      <c r="H104" s="133">
        <v>0.16</v>
      </c>
      <c r="I104" s="133">
        <v>0.16</v>
      </c>
      <c r="J104" s="133">
        <v>0.16</v>
      </c>
      <c r="K104" s="134">
        <v>0.16</v>
      </c>
    </row>
    <row r="105" spans="2:11"/>
    <row r="106" spans="2:11"/>
  </sheetData>
  <mergeCells count="1">
    <mergeCell ref="F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FAC2-2097-5643-B244-1438860E5D94}">
  <dimension ref="B2:K39"/>
  <sheetViews>
    <sheetView showGridLines="0" workbookViewId="0">
      <pane ySplit="5" topLeftCell="A6" activePane="bottomLeft" state="frozen"/>
      <selection pane="bottomLeft" activeCell="G38" sqref="G38"/>
    </sheetView>
  </sheetViews>
  <sheetFormatPr baseColWidth="10" defaultRowHeight="16"/>
  <cols>
    <col min="1" max="1" width="4.33203125" customWidth="1"/>
    <col min="2" max="2" width="50.83203125" customWidth="1"/>
  </cols>
  <sheetData>
    <row r="2" spans="2:11">
      <c r="B2" s="37" t="s">
        <v>172</v>
      </c>
      <c r="C2" s="37">
        <f>Summary!C2</f>
        <v>1</v>
      </c>
      <c r="D2" s="117"/>
    </row>
    <row r="3" spans="2:11">
      <c r="B3" s="69" t="s">
        <v>3</v>
      </c>
      <c r="C3" s="37"/>
      <c r="D3" s="37"/>
      <c r="E3" s="37"/>
      <c r="F3" s="266" t="s">
        <v>87</v>
      </c>
      <c r="G3" s="266"/>
      <c r="H3" s="266"/>
      <c r="I3" s="266"/>
      <c r="J3" s="266"/>
      <c r="K3" s="266"/>
    </row>
    <row r="4" spans="2:11" ht="5" customHeight="1">
      <c r="B4" s="116"/>
      <c r="C4" s="37"/>
      <c r="D4" s="37"/>
      <c r="E4" s="37"/>
      <c r="F4" s="115"/>
      <c r="G4" s="115"/>
      <c r="H4" s="115"/>
      <c r="I4" s="115"/>
      <c r="J4" s="115"/>
      <c r="K4" s="115"/>
    </row>
    <row r="5" spans="2:11">
      <c r="C5" s="115">
        <f>Summary!H7</f>
        <v>2022</v>
      </c>
      <c r="D5" s="115">
        <f>Summary!I7</f>
        <v>2023</v>
      </c>
      <c r="E5" s="115">
        <f>Summary!J7</f>
        <v>2024</v>
      </c>
      <c r="F5" s="115" t="str">
        <f>Summary!K7</f>
        <v>2025E</v>
      </c>
      <c r="G5" s="115" t="str">
        <f>Summary!L7</f>
        <v>2026E</v>
      </c>
      <c r="H5" s="115" t="str">
        <f>Summary!M7</f>
        <v>2027E</v>
      </c>
      <c r="I5" s="115" t="str">
        <f>Summary!N7</f>
        <v>2028E</v>
      </c>
      <c r="J5" s="115" t="str">
        <f>Summary!O7</f>
        <v>2029E</v>
      </c>
      <c r="K5" s="115" t="str">
        <f>Summary!P7</f>
        <v>2030E</v>
      </c>
    </row>
    <row r="6" spans="2:11" ht="17" thickBot="1"/>
    <row r="7" spans="2:11" ht="17" thickBot="1">
      <c r="B7" s="65" t="s">
        <v>195</v>
      </c>
      <c r="C7" s="124"/>
      <c r="D7" s="124"/>
      <c r="E7" s="124"/>
      <c r="F7" s="124"/>
      <c r="G7" s="124"/>
      <c r="H7" s="124"/>
      <c r="I7" s="124"/>
      <c r="J7" s="124"/>
      <c r="K7" s="127"/>
    </row>
    <row r="8" spans="2:11">
      <c r="B8" s="153" t="s">
        <v>104</v>
      </c>
      <c r="C8" s="98">
        <f>Assumptions!C63</f>
        <v>2188.8679999999999</v>
      </c>
      <c r="D8" s="98">
        <f>Assumptions!D63</f>
        <v>2223.431</v>
      </c>
      <c r="E8" s="98">
        <f>Assumptions!E63</f>
        <v>2182.8560000000002</v>
      </c>
      <c r="F8" s="98">
        <f ca="1">Assumptions!F63</f>
        <v>2191.6967485499995</v>
      </c>
      <c r="G8" s="98">
        <f ca="1">Assumptions!G63</f>
        <v>2276.0533362847495</v>
      </c>
      <c r="H8" s="98">
        <f ca="1">Assumptions!H63</f>
        <v>2367.3676345258359</v>
      </c>
      <c r="I8" s="98">
        <f ca="1">Assumptions!I63</f>
        <v>2466.1998697329095</v>
      </c>
      <c r="J8" s="98">
        <f ca="1">Assumptions!J63</f>
        <v>2573.1696037142997</v>
      </c>
      <c r="K8" s="154">
        <f ca="1">Assumptions!K63</f>
        <v>2688.9622358814431</v>
      </c>
    </row>
    <row r="9" spans="2:11">
      <c r="B9" s="14" t="s">
        <v>189</v>
      </c>
      <c r="C9" s="84">
        <f>Assumptions!C69</f>
        <v>4441.6490000000003</v>
      </c>
      <c r="D9" s="84">
        <f>Assumptions!D69</f>
        <v>4676.6859999999997</v>
      </c>
      <c r="E9" s="84">
        <f>Assumptions!E69</f>
        <v>5514.4269999999997</v>
      </c>
      <c r="F9" s="84">
        <f ca="1">Assumptions!F69</f>
        <v>5412.2733596137496</v>
      </c>
      <c r="G9" s="84">
        <f ca="1">Assumptions!G69</f>
        <v>5630.4501643381855</v>
      </c>
      <c r="H9" s="84">
        <f ca="1">Assumptions!H69</f>
        <v>5866.3369983550228</v>
      </c>
      <c r="I9" s="84">
        <f ca="1">Assumptions!I69</f>
        <v>6121.3820988848311</v>
      </c>
      <c r="J9" s="84">
        <f ca="1">Assumptions!J69</f>
        <v>6397.1855425674967</v>
      </c>
      <c r="K9" s="105">
        <f ca="1">Assumptions!K69</f>
        <v>6695.5159673447961</v>
      </c>
    </row>
    <row r="10" spans="2:11">
      <c r="B10" s="24" t="s">
        <v>106</v>
      </c>
      <c r="C10" s="99">
        <f>Assumptions!C75</f>
        <v>1532.759</v>
      </c>
      <c r="D10" s="99">
        <f>Assumptions!D75</f>
        <v>1603.7280000000001</v>
      </c>
      <c r="E10" s="99">
        <f>Assumptions!E75</f>
        <v>1675.31</v>
      </c>
      <c r="F10" s="99">
        <f ca="1">Assumptions!F75</f>
        <v>1704.6530266499999</v>
      </c>
      <c r="G10" s="99">
        <f ca="1">Assumptions!G75</f>
        <v>1770.2637059992501</v>
      </c>
      <c r="H10" s="99">
        <f ca="1">Assumptions!H75</f>
        <v>1841.2859379645392</v>
      </c>
      <c r="I10" s="99">
        <f ca="1">Assumptions!I75</f>
        <v>1918.1554542367076</v>
      </c>
      <c r="J10" s="99">
        <f ca="1">Assumptions!J75</f>
        <v>2001.3541362222334</v>
      </c>
      <c r="K10" s="106">
        <f ca="1">Assumptions!K75</f>
        <v>2091.4150723522339</v>
      </c>
    </row>
    <row r="11" spans="2:11">
      <c r="B11" s="36" t="s">
        <v>196</v>
      </c>
      <c r="C11" s="219">
        <f>SUM(C8:C10)</f>
        <v>8163.2759999999998</v>
      </c>
      <c r="D11" s="219">
        <f t="shared" ref="D11:K11" si="0">SUM(D8:D10)</f>
        <v>8503.8450000000012</v>
      </c>
      <c r="E11" s="219">
        <f t="shared" si="0"/>
        <v>9372.5929999999989</v>
      </c>
      <c r="F11" s="219">
        <f t="shared" ca="1" si="0"/>
        <v>9308.623134813748</v>
      </c>
      <c r="G11" s="219">
        <f t="shared" ca="1" si="0"/>
        <v>9676.7672066221858</v>
      </c>
      <c r="H11" s="219">
        <f t="shared" ca="1" si="0"/>
        <v>10074.990570845399</v>
      </c>
      <c r="I11" s="219">
        <f t="shared" ca="1" si="0"/>
        <v>10505.737422854447</v>
      </c>
      <c r="J11" s="219">
        <f t="shared" ca="1" si="0"/>
        <v>10971.709282504029</v>
      </c>
      <c r="K11" s="220">
        <f t="shared" ca="1" si="0"/>
        <v>11475.893275578474</v>
      </c>
    </row>
    <row r="12" spans="2:11">
      <c r="B12" s="14"/>
      <c r="C12" s="6"/>
      <c r="D12" s="6"/>
      <c r="E12" s="6"/>
      <c r="F12" s="6"/>
      <c r="G12" s="6"/>
      <c r="H12" s="6"/>
      <c r="I12" s="6"/>
      <c r="J12" s="6"/>
      <c r="K12" s="94"/>
    </row>
    <row r="13" spans="2:11">
      <c r="B13" s="14" t="s">
        <v>116</v>
      </c>
      <c r="C13" s="84">
        <f>Assumptions!C81</f>
        <v>5456.55</v>
      </c>
      <c r="D13" s="84">
        <f>Assumptions!D81</f>
        <v>5499.5360000000001</v>
      </c>
      <c r="E13" s="84">
        <f>Assumptions!E81</f>
        <v>5923.6840000000002</v>
      </c>
      <c r="F13" s="84">
        <f ca="1">Assumptions!F81</f>
        <v>6185.4552681300001</v>
      </c>
      <c r="G13" s="84">
        <f ca="1">Assumptions!G81</f>
        <v>6398.2388231115756</v>
      </c>
      <c r="H13" s="84">
        <f ca="1">Assumptions!H81</f>
        <v>6628.6293766723429</v>
      </c>
      <c r="I13" s="84">
        <f ca="1">Assumptions!I81</f>
        <v>6877.9574144773396</v>
      </c>
      <c r="J13" s="84">
        <f ca="1">Assumptions!J81</f>
        <v>7147.6933436508352</v>
      </c>
      <c r="K13" s="105">
        <f ca="1">Assumptions!K81</f>
        <v>7439.4621859386625</v>
      </c>
    </row>
    <row r="14" spans="2:11">
      <c r="B14" s="24" t="s">
        <v>118</v>
      </c>
      <c r="C14" s="99">
        <f>Assumptions!C87</f>
        <v>1851.34</v>
      </c>
      <c r="D14" s="99">
        <f>Assumptions!D87</f>
        <v>1839.64</v>
      </c>
      <c r="E14" s="99">
        <f>Assumptions!E87</f>
        <v>1925.636</v>
      </c>
      <c r="F14" s="99">
        <f ca="1">Assumptions!F87</f>
        <v>1948.1748875999999</v>
      </c>
      <c r="G14" s="99">
        <f ca="1">Assumptions!G87</f>
        <v>2023.1585211419999</v>
      </c>
      <c r="H14" s="99">
        <f ca="1">Assumptions!H87</f>
        <v>2104.3267862451876</v>
      </c>
      <c r="I14" s="99">
        <f ca="1">Assumptions!I87</f>
        <v>2192.1776619848088</v>
      </c>
      <c r="J14" s="99">
        <f ca="1">Assumptions!J87</f>
        <v>2287.2618699682666</v>
      </c>
      <c r="K14" s="106">
        <f ca="1">Assumptions!K87</f>
        <v>2390.1886541168383</v>
      </c>
    </row>
    <row r="15" spans="2:11">
      <c r="B15" s="36" t="s">
        <v>197</v>
      </c>
      <c r="C15" s="219">
        <f>C13+C14</f>
        <v>7307.89</v>
      </c>
      <c r="D15" s="219">
        <f t="shared" ref="D15:K15" si="1">D13+D14</f>
        <v>7339.1760000000004</v>
      </c>
      <c r="E15" s="219">
        <f t="shared" si="1"/>
        <v>7849.32</v>
      </c>
      <c r="F15" s="219">
        <f t="shared" ca="1" si="1"/>
        <v>8133.6301557300003</v>
      </c>
      <c r="G15" s="219">
        <f t="shared" ca="1" si="1"/>
        <v>8421.3973442535753</v>
      </c>
      <c r="H15" s="219">
        <f t="shared" ca="1" si="1"/>
        <v>8732.9561629175296</v>
      </c>
      <c r="I15" s="219">
        <f t="shared" ca="1" si="1"/>
        <v>9070.1350764621493</v>
      </c>
      <c r="J15" s="219">
        <f t="shared" ca="1" si="1"/>
        <v>9434.9552136191014</v>
      </c>
      <c r="K15" s="220">
        <f t="shared" ca="1" si="1"/>
        <v>9829.6508400555012</v>
      </c>
    </row>
    <row r="16" spans="2:11">
      <c r="B16" s="14"/>
      <c r="C16" s="6"/>
      <c r="D16" s="6"/>
      <c r="E16" s="6"/>
      <c r="F16" s="6"/>
      <c r="G16" s="6"/>
      <c r="H16" s="6"/>
      <c r="I16" s="6"/>
      <c r="J16" s="6"/>
      <c r="K16" s="94"/>
    </row>
    <row r="17" spans="2:11">
      <c r="B17" s="14" t="s">
        <v>198</v>
      </c>
      <c r="C17" s="84">
        <f>C11-C15</f>
        <v>855.38599999999951</v>
      </c>
      <c r="D17" s="84">
        <f t="shared" ref="D17:J17" si="2">D11-D15</f>
        <v>1164.6690000000008</v>
      </c>
      <c r="E17" s="84">
        <f t="shared" si="2"/>
        <v>1523.2729999999992</v>
      </c>
      <c r="F17" s="84">
        <f t="shared" ca="1" si="2"/>
        <v>1174.9929790837477</v>
      </c>
      <c r="G17" s="84">
        <f t="shared" ca="1" si="2"/>
        <v>1255.3698623686105</v>
      </c>
      <c r="H17" s="84">
        <f t="shared" ca="1" si="2"/>
        <v>1342.0344079278693</v>
      </c>
      <c r="I17" s="84">
        <f t="shared" ca="1" si="2"/>
        <v>1435.6023463922975</v>
      </c>
      <c r="J17" s="84">
        <f t="shared" ca="1" si="2"/>
        <v>1536.7540688849276</v>
      </c>
      <c r="K17" s="105">
        <f ca="1">K11-K15</f>
        <v>1646.2424355229723</v>
      </c>
    </row>
    <row r="18" spans="2:11">
      <c r="B18" s="14" t="s">
        <v>181</v>
      </c>
      <c r="C18" s="155">
        <f>C17/'Revenue Build'!C7</f>
        <v>3.8712302916010966E-2</v>
      </c>
      <c r="D18" s="155">
        <f>D17/'Revenue Build'!D7</f>
        <v>5.0439074584863748E-2</v>
      </c>
      <c r="E18" s="155">
        <f>E17/'Revenue Build'!E7</f>
        <v>6.4857195616779925E-2</v>
      </c>
      <c r="F18" s="155">
        <f ca="1">F17/'Revenue Build'!F7</f>
        <v>4.8249999999999911E-2</v>
      </c>
      <c r="G18" s="155">
        <f ca="1">G17/'Revenue Build'!G7</f>
        <v>4.9639999999999983E-2</v>
      </c>
      <c r="H18" s="155">
        <f ca="1">H17/'Revenue Build'!H7</f>
        <v>5.1020000000000038E-2</v>
      </c>
      <c r="I18" s="155">
        <f ca="1">I17/'Revenue Build'!I7</f>
        <v>5.2389999999999853E-2</v>
      </c>
      <c r="J18" s="155">
        <f ca="1">J17/'Revenue Build'!J7</f>
        <v>5.3749999999999951E-2</v>
      </c>
      <c r="K18" s="156">
        <f ca="1">K17/'Revenue Build'!K7</f>
        <v>5.5099999999999996E-2</v>
      </c>
    </row>
    <row r="19" spans="2:11" ht="17" thickBot="1">
      <c r="B19" s="157" t="s">
        <v>199</v>
      </c>
      <c r="C19" s="21"/>
      <c r="D19" s="293">
        <f>D17-C17</f>
        <v>309.28300000000127</v>
      </c>
      <c r="E19" s="293">
        <f t="shared" ref="E19:K19" si="3">E17-D17</f>
        <v>358.60399999999845</v>
      </c>
      <c r="F19" s="293">
        <f t="shared" ca="1" si="3"/>
        <v>-348.28002091625149</v>
      </c>
      <c r="G19" s="293">
        <f t="shared" ca="1" si="3"/>
        <v>80.376883284862743</v>
      </c>
      <c r="H19" s="293">
        <f t="shared" ca="1" si="3"/>
        <v>86.664545559258841</v>
      </c>
      <c r="I19" s="293">
        <f t="shared" ca="1" si="3"/>
        <v>93.567938464428153</v>
      </c>
      <c r="J19" s="293">
        <f t="shared" ca="1" si="3"/>
        <v>101.15172249263014</v>
      </c>
      <c r="K19" s="294">
        <f t="shared" ca="1" si="3"/>
        <v>109.48836663804468</v>
      </c>
    </row>
    <row r="20" spans="2:11" ht="17" thickBot="1"/>
    <row r="21" spans="2:11" ht="17" thickBot="1">
      <c r="B21" s="166" t="s">
        <v>213</v>
      </c>
      <c r="C21" s="167"/>
      <c r="D21" s="167"/>
      <c r="E21" s="167"/>
      <c r="F21" s="167"/>
      <c r="G21" s="167"/>
      <c r="H21" s="167"/>
      <c r="I21" s="167"/>
      <c r="J21" s="167"/>
      <c r="K21" s="168"/>
    </row>
    <row r="22" spans="2:11">
      <c r="B22" s="153" t="s">
        <v>214</v>
      </c>
      <c r="C22" s="98">
        <v>1234.3989999999999</v>
      </c>
      <c r="D22" s="98">
        <f>C27</f>
        <v>1326.0139999999999</v>
      </c>
      <c r="E22" s="98">
        <f>D27</f>
        <v>1616.7850000000001</v>
      </c>
      <c r="F22" s="98">
        <f>E27</f>
        <v>1950.76</v>
      </c>
      <c r="G22" s="98">
        <f t="shared" ref="G22:K22" ca="1" si="4">F27</f>
        <v>2282.5585355443754</v>
      </c>
      <c r="H22" s="98">
        <f t="shared" ca="1" si="4"/>
        <v>2696.0415583027716</v>
      </c>
      <c r="I22" s="98">
        <f t="shared" ca="1" si="4"/>
        <v>3197.791976398109</v>
      </c>
      <c r="J22" s="98">
        <f t="shared" ca="1" si="4"/>
        <v>3795.1603892889689</v>
      </c>
      <c r="K22" s="154">
        <f t="shared" ca="1" si="4"/>
        <v>4496.3491063011152</v>
      </c>
    </row>
    <row r="23" spans="2:11">
      <c r="B23" s="14" t="s">
        <v>189</v>
      </c>
      <c r="C23" s="84">
        <f>-'Financial Statements'!C85</f>
        <v>339.63200000000001</v>
      </c>
      <c r="D23" s="84">
        <f>-'Financial Statements'!D85</f>
        <v>512.67499999999995</v>
      </c>
      <c r="E23" s="84">
        <f>-'Financial Statements'!E85</f>
        <v>567.33900000000006</v>
      </c>
      <c r="F23" s="84">
        <f ca="1">Assumptions!F57</f>
        <v>608.80465237499993</v>
      </c>
      <c r="G23" s="84">
        <f ca="1">Assumptions!G57</f>
        <v>758.68444542825</v>
      </c>
      <c r="H23" s="84">
        <f ca="1">Assumptions!H57</f>
        <v>920.64296898226962</v>
      </c>
      <c r="I23" s="84">
        <f ca="1">Assumptions!I57</f>
        <v>1096.0888309924044</v>
      </c>
      <c r="J23" s="84">
        <f ca="1">Assumptions!J57</f>
        <v>1286.5848018571498</v>
      </c>
      <c r="K23" s="105">
        <f ca="1">Assumptions!K57</f>
        <v>1493.8679088230238</v>
      </c>
    </row>
    <row r="24" spans="2:11">
      <c r="B24" s="14" t="s">
        <v>106</v>
      </c>
      <c r="C24" s="84">
        <v>-190.38200000000001</v>
      </c>
      <c r="D24" s="84">
        <v>-203.351</v>
      </c>
      <c r="E24" s="84">
        <v>-264.98399999999998</v>
      </c>
      <c r="F24" s="84">
        <f ca="1">-F25*Assumptions!F20</f>
        <v>-277.00611683062493</v>
      </c>
      <c r="G24" s="84">
        <f ca="1">-G25*Assumptions!G20</f>
        <v>-345.20142266985374</v>
      </c>
      <c r="H24" s="84">
        <f ca="1">-H25*Assumptions!H20</f>
        <v>-418.89255088693267</v>
      </c>
      <c r="I24" s="84">
        <f ca="1">-I25*Assumptions!I20</f>
        <v>-498.720418101544</v>
      </c>
      <c r="J24" s="84">
        <f ca="1">-J25*Assumptions!J20</f>
        <v>-585.3960848450032</v>
      </c>
      <c r="K24" s="105">
        <f ca="1">-K25*Assumptions!K20</f>
        <v>-679.70989851447575</v>
      </c>
    </row>
    <row r="25" spans="2:11">
      <c r="B25" s="29" t="s">
        <v>215</v>
      </c>
      <c r="C25" s="155">
        <f>-C24/Assumptions!C20</f>
        <v>0.54735940244782488</v>
      </c>
      <c r="D25" s="155">
        <f>-D24/Assumptions!D20</f>
        <v>0.58012603807388263</v>
      </c>
      <c r="E25" s="155">
        <f>-E24/Assumptions!E20</f>
        <v>0.6495056105966498</v>
      </c>
      <c r="F25" s="169">
        <v>0.65</v>
      </c>
      <c r="G25" s="169">
        <v>0.65</v>
      </c>
      <c r="H25" s="169">
        <v>0.65</v>
      </c>
      <c r="I25" s="169">
        <v>0.65</v>
      </c>
      <c r="J25" s="169">
        <v>0.65</v>
      </c>
      <c r="K25" s="159">
        <v>0.65</v>
      </c>
    </row>
    <row r="26" spans="2:11">
      <c r="B26" s="14" t="s">
        <v>216</v>
      </c>
      <c r="C26" s="84">
        <f>-(C22+C23+C24-C27)</f>
        <v>-57.634999999999991</v>
      </c>
      <c r="D26" s="84">
        <f>-(D22+D23+D24-D27)</f>
        <v>-18.552999999999656</v>
      </c>
      <c r="E26" s="84">
        <f>-(E22+E23+E24-E27)</f>
        <v>31.619999999999663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94">
        <v>0</v>
      </c>
    </row>
    <row r="27" spans="2:11" ht="17" thickBot="1">
      <c r="B27" s="20" t="s">
        <v>217</v>
      </c>
      <c r="C27" s="170">
        <f>'Financial Statements'!C37</f>
        <v>1326.0139999999999</v>
      </c>
      <c r="D27" s="170">
        <f>'Financial Statements'!D37</f>
        <v>1616.7850000000001</v>
      </c>
      <c r="E27" s="170">
        <f>'Financial Statements'!E37</f>
        <v>1950.76</v>
      </c>
      <c r="F27" s="170">
        <f ca="1">F22+F23+F24</f>
        <v>2282.5585355443754</v>
      </c>
      <c r="G27" s="170">
        <f t="shared" ref="G27:K27" ca="1" si="5">G22+G23+G24</f>
        <v>2696.0415583027716</v>
      </c>
      <c r="H27" s="170">
        <f t="shared" ca="1" si="5"/>
        <v>3197.791976398109</v>
      </c>
      <c r="I27" s="170">
        <f t="shared" ca="1" si="5"/>
        <v>3795.1603892889689</v>
      </c>
      <c r="J27" s="170">
        <f t="shared" ca="1" si="5"/>
        <v>4496.3491063011152</v>
      </c>
      <c r="K27" s="171">
        <f t="shared" ca="1" si="5"/>
        <v>5310.5071166096632</v>
      </c>
    </row>
    <row r="28" spans="2:11" ht="17" thickBot="1">
      <c r="B28" s="6"/>
      <c r="C28" s="84"/>
      <c r="D28" s="84"/>
      <c r="E28" s="84"/>
      <c r="F28" s="84"/>
      <c r="G28" s="84"/>
      <c r="H28" s="84"/>
      <c r="I28" s="84"/>
      <c r="J28" s="84"/>
      <c r="K28" s="84"/>
    </row>
    <row r="29" spans="2:11" ht="17" thickBot="1">
      <c r="B29" s="166" t="s">
        <v>218</v>
      </c>
      <c r="C29" s="167"/>
      <c r="D29" s="167"/>
      <c r="E29" s="167"/>
      <c r="F29" s="167"/>
      <c r="G29" s="167"/>
      <c r="H29" s="167"/>
      <c r="I29" s="167"/>
      <c r="J29" s="167"/>
      <c r="K29" s="168"/>
    </row>
    <row r="30" spans="2:11">
      <c r="B30" s="153" t="s">
        <v>219</v>
      </c>
      <c r="C30" s="98">
        <v>4086.3249999999998</v>
      </c>
      <c r="D30" s="98">
        <f>C34</f>
        <v>4541.6369999999988</v>
      </c>
      <c r="E30" s="98">
        <f t="shared" ref="E30:K30" si="6">D34</f>
        <v>5065.3239999999978</v>
      </c>
      <c r="F30" s="98">
        <f t="shared" si="6"/>
        <v>5263.8349999999973</v>
      </c>
      <c r="G30" s="98">
        <f t="shared" ca="1" si="6"/>
        <v>5483.7863800286468</v>
      </c>
      <c r="H30" s="98">
        <f t="shared" ca="1" si="6"/>
        <v>5746.5434607249254</v>
      </c>
      <c r="I30" s="98">
        <f t="shared" ca="1" si="6"/>
        <v>6023.4025023678769</v>
      </c>
      <c r="J30" s="98">
        <f t="shared" ca="1" si="6"/>
        <v>6315.3663141682846</v>
      </c>
      <c r="K30" s="154">
        <f t="shared" ca="1" si="6"/>
        <v>6623.5248172931024</v>
      </c>
    </row>
    <row r="31" spans="2:11">
      <c r="B31" s="14" t="s">
        <v>99</v>
      </c>
      <c r="C31" s="84">
        <f>'Financial Statements'!C24</f>
        <v>1182.6979999999999</v>
      </c>
      <c r="D31" s="84">
        <f>'Financial Statements'!D24</f>
        <v>1316.5239999999999</v>
      </c>
      <c r="E31" s="84">
        <f>'Financial Statements'!E24</f>
        <v>904.07599999999934</v>
      </c>
      <c r="F31" s="84">
        <f ca="1">'Financial Statements'!F24</f>
        <v>999.77900013022361</v>
      </c>
      <c r="G31" s="84">
        <f ca="1">'Financial Statements'!G24</f>
        <v>1208.0785319369154</v>
      </c>
      <c r="H31" s="84">
        <f ca="1">'Financial Statements'!H24</f>
        <v>1287.7164727579111</v>
      </c>
      <c r="I31" s="84">
        <f ca="1">'Financial Statements'!I24</f>
        <v>1373.9473496489761</v>
      </c>
      <c r="J31" s="84">
        <f ca="1">'Financial Statements'!J24</f>
        <v>1467.4214434515115</v>
      </c>
      <c r="K31" s="105">
        <f ca="1">'Financial Statements'!K24</f>
        <v>1568.8600778459352</v>
      </c>
    </row>
    <row r="32" spans="2:11">
      <c r="B32" s="14" t="s">
        <v>193</v>
      </c>
      <c r="C32" s="84">
        <f>-Assumptions!C94</f>
        <v>-506.23200000000003</v>
      </c>
      <c r="D32" s="84">
        <f>-Assumptions!D94</f>
        <v>-533.11800000000005</v>
      </c>
      <c r="E32" s="84">
        <f>-Assumptions!E94</f>
        <v>-556.65099999999995</v>
      </c>
      <c r="F32" s="84">
        <f ca="1">-Assumptions!F94</f>
        <v>-619.86298008073868</v>
      </c>
      <c r="G32" s="84">
        <f ca="1">-Assumptions!G94</f>
        <v>-752.0288861307298</v>
      </c>
      <c r="H32" s="84">
        <f ca="1">-Assumptions!H94</f>
        <v>-804.82279547369433</v>
      </c>
      <c r="I32" s="84">
        <f ca="1">-Assumptions!I94</f>
        <v>-862.15196190473227</v>
      </c>
      <c r="J32" s="84">
        <f ca="1">-Assumptions!J94</f>
        <v>-924.47550937445192</v>
      </c>
      <c r="K32" s="105">
        <f ca="1">-Assumptions!K94</f>
        <v>-992.30399923755351</v>
      </c>
    </row>
    <row r="33" spans="2:11">
      <c r="B33" s="14" t="s">
        <v>163</v>
      </c>
      <c r="C33" s="96">
        <f>-Assumptions!C100</f>
        <v>-221.154</v>
      </c>
      <c r="D33" s="96">
        <f>-Assumptions!D100</f>
        <v>-259.71899999999999</v>
      </c>
      <c r="E33" s="96">
        <f>-Assumptions!E100</f>
        <v>-148.91399999999999</v>
      </c>
      <c r="F33" s="96">
        <f ca="1">-Assumptions!F100</f>
        <v>-159.96464002083579</v>
      </c>
      <c r="G33" s="96">
        <f ca="1">-Assumptions!G100</f>
        <v>-193.29256510990646</v>
      </c>
      <c r="H33" s="96">
        <f ca="1">-Assumptions!H100</f>
        <v>-206.03463564126579</v>
      </c>
      <c r="I33" s="96">
        <f ca="1">-Assumptions!I100</f>
        <v>-219.83157594383619</v>
      </c>
      <c r="J33" s="96">
        <f ca="1">-Assumptions!J100</f>
        <v>-234.78743095224186</v>
      </c>
      <c r="K33" s="152">
        <f ca="1">-Assumptions!K100</f>
        <v>-251.01761245534962</v>
      </c>
    </row>
    <row r="34" spans="2:11" ht="17" thickBot="1">
      <c r="B34" s="20" t="s">
        <v>220</v>
      </c>
      <c r="C34" s="170">
        <f>C30+C31+C32+C33</f>
        <v>4541.6369999999988</v>
      </c>
      <c r="D34" s="170">
        <f t="shared" ref="D34:K34" si="7">D30+D31+D32+D33</f>
        <v>5065.3239999999978</v>
      </c>
      <c r="E34" s="170">
        <f t="shared" si="7"/>
        <v>5263.8349999999973</v>
      </c>
      <c r="F34" s="170">
        <f t="shared" ca="1" si="7"/>
        <v>5483.7863800286468</v>
      </c>
      <c r="G34" s="170">
        <f t="shared" ca="1" si="7"/>
        <v>5746.5434607249254</v>
      </c>
      <c r="H34" s="170">
        <f t="shared" ca="1" si="7"/>
        <v>6023.4025023678769</v>
      </c>
      <c r="I34" s="170">
        <f t="shared" ca="1" si="7"/>
        <v>6315.3663141682846</v>
      </c>
      <c r="J34" s="170">
        <f t="shared" ca="1" si="7"/>
        <v>6623.5248172931024</v>
      </c>
      <c r="K34" s="171">
        <f t="shared" ca="1" si="7"/>
        <v>6949.0632834461339</v>
      </c>
    </row>
    <row r="35" spans="2:11" ht="17" thickBot="1">
      <c r="B35" s="6"/>
      <c r="C35" s="84"/>
      <c r="D35" s="84"/>
      <c r="E35" s="84"/>
      <c r="F35" s="84"/>
      <c r="G35" s="84"/>
      <c r="H35" s="84"/>
      <c r="I35" s="84"/>
      <c r="J35" s="84"/>
      <c r="K35" s="84"/>
    </row>
    <row r="36" spans="2:11" ht="17" thickBot="1">
      <c r="B36" s="11" t="s">
        <v>221</v>
      </c>
      <c r="C36" s="172"/>
    </row>
    <row r="37" spans="2:11">
      <c r="B37" s="153" t="s">
        <v>222</v>
      </c>
      <c r="C37" s="143">
        <f>Comps!D10</f>
        <v>23086.492999999999</v>
      </c>
    </row>
    <row r="38" spans="2:11">
      <c r="B38" s="14" t="s">
        <v>223</v>
      </c>
      <c r="C38" s="152">
        <f ca="1">DCF!C17-DCF!C14</f>
        <v>1753.3573988399992</v>
      </c>
    </row>
    <row r="39" spans="2:11" ht="17" thickBot="1">
      <c r="B39" s="20" t="s">
        <v>40</v>
      </c>
      <c r="C39" s="298">
        <f ca="1">C37/C38</f>
        <v>13.167020605880897</v>
      </c>
    </row>
  </sheetData>
  <mergeCells count="1">
    <mergeCell ref="F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174B-6294-D742-9BCD-978CCB907466}">
  <dimension ref="B2:Z37"/>
  <sheetViews>
    <sheetView showGridLines="0" workbookViewId="0">
      <selection activeCell="P20" sqref="P20"/>
    </sheetView>
  </sheetViews>
  <sheetFormatPr baseColWidth="10" defaultRowHeight="16"/>
  <cols>
    <col min="1" max="1" width="4.33203125" style="6" customWidth="1"/>
    <col min="2" max="2" width="40.83203125" style="6" customWidth="1"/>
    <col min="3" max="3" width="10.83203125" style="6" customWidth="1"/>
    <col min="4" max="8" width="10.83203125" style="6"/>
    <col min="9" max="9" width="2.83203125" style="6" customWidth="1"/>
    <col min="10" max="10" width="10.83203125" style="6"/>
    <col min="11" max="11" width="2.83203125" style="6" customWidth="1"/>
    <col min="12" max="12" width="25.83203125" style="6" customWidth="1"/>
    <col min="13" max="13" width="11.5" style="6" bestFit="1" customWidth="1"/>
    <col min="14" max="14" width="2.83203125" style="6" customWidth="1"/>
    <col min="15" max="15" width="25.83203125" style="6" customWidth="1"/>
    <col min="16" max="16" width="10.83203125" style="6"/>
    <col min="17" max="17" width="2.83203125" style="6" customWidth="1"/>
    <col min="18" max="18" width="4.33203125" style="6" customWidth="1"/>
    <col min="19" max="16384" width="10.83203125" style="6"/>
  </cols>
  <sheetData>
    <row r="2" spans="2:26">
      <c r="B2" s="37" t="s">
        <v>172</v>
      </c>
      <c r="C2" s="37">
        <f>Summary!C2</f>
        <v>1</v>
      </c>
    </row>
    <row r="3" spans="2:26">
      <c r="B3" s="116" t="s">
        <v>3</v>
      </c>
      <c r="C3" s="266" t="s">
        <v>87</v>
      </c>
      <c r="D3" s="266"/>
      <c r="E3" s="266"/>
      <c r="F3" s="266"/>
      <c r="G3" s="266"/>
      <c r="H3" s="266"/>
    </row>
    <row r="4" spans="2:26" ht="5" customHeight="1">
      <c r="C4" s="37"/>
      <c r="D4" s="37"/>
      <c r="E4" s="37"/>
      <c r="F4" s="115"/>
      <c r="G4" s="115"/>
      <c r="H4" s="115"/>
    </row>
    <row r="5" spans="2:26">
      <c r="C5" s="175">
        <v>46022</v>
      </c>
      <c r="D5" s="175">
        <v>46387</v>
      </c>
      <c r="E5" s="175">
        <v>46752</v>
      </c>
      <c r="F5" s="175">
        <v>47118</v>
      </c>
      <c r="G5" s="175">
        <v>47483</v>
      </c>
      <c r="H5" s="175">
        <v>47848</v>
      </c>
      <c r="J5" s="45" t="s">
        <v>30</v>
      </c>
    </row>
    <row r="6" spans="2:26" ht="17" thickBot="1"/>
    <row r="7" spans="2:26" ht="17" thickBot="1">
      <c r="B7" s="11" t="s">
        <v>224</v>
      </c>
      <c r="C7" s="40"/>
      <c r="D7" s="40"/>
      <c r="E7" s="40"/>
      <c r="F7" s="40"/>
      <c r="G7" s="40"/>
      <c r="H7" s="40"/>
      <c r="L7" s="269" t="s">
        <v>34</v>
      </c>
      <c r="M7" s="270"/>
      <c r="O7" s="269" t="s">
        <v>34</v>
      </c>
      <c r="P7" s="270"/>
      <c r="S7" s="37" t="s">
        <v>35</v>
      </c>
    </row>
    <row r="8" spans="2:26">
      <c r="B8" s="12" t="s">
        <v>11</v>
      </c>
      <c r="C8" s="217">
        <f ca="1">'Revenue Build'!F7</f>
        <v>24352.186094999997</v>
      </c>
      <c r="D8" s="217">
        <f ca="1">'Revenue Build'!G7</f>
        <v>25289.481514274998</v>
      </c>
      <c r="E8" s="217">
        <f ca="1">'Revenue Build'!H7</f>
        <v>26304.084828064842</v>
      </c>
      <c r="F8" s="217">
        <f ca="1">'Revenue Build'!I7</f>
        <v>27402.220774810106</v>
      </c>
      <c r="G8" s="217">
        <f ca="1">'Revenue Build'!J7</f>
        <v>28590.77337460333</v>
      </c>
      <c r="H8" s="218">
        <f ca="1">'Revenue Build'!K7</f>
        <v>29877.358176460479</v>
      </c>
      <c r="J8" s="174">
        <f ca="1">(H8/C8)^(1/5)-1</f>
        <v>4.1743616547200046E-2</v>
      </c>
      <c r="L8" s="271" t="s">
        <v>35</v>
      </c>
      <c r="M8" s="272"/>
      <c r="O8" s="271" t="s">
        <v>36</v>
      </c>
      <c r="P8" s="272"/>
      <c r="S8" s="37"/>
      <c r="T8" s="273" t="s">
        <v>39</v>
      </c>
      <c r="U8" s="273"/>
      <c r="V8" s="273"/>
      <c r="W8" s="273"/>
      <c r="X8" s="273"/>
      <c r="Y8" s="273"/>
      <c r="Z8" s="273"/>
    </row>
    <row r="9" spans="2:26">
      <c r="B9" s="27" t="s">
        <v>12</v>
      </c>
      <c r="C9" s="30">
        <f ca="1">'Revenue Build'!F8</f>
        <v>3.6855834285544127E-2</v>
      </c>
      <c r="D9" s="30">
        <f ca="1">'Revenue Build'!G8</f>
        <v>3.8489169539791181E-2</v>
      </c>
      <c r="E9" s="30">
        <f ca="1">'Revenue Build'!H8</f>
        <v>4.0119577509611572E-2</v>
      </c>
      <c r="F9" s="30">
        <f ca="1">'Revenue Build'!I8</f>
        <v>4.1747734388904507E-2</v>
      </c>
      <c r="G9" s="30">
        <f ca="1">'Revenue Build'!J8</f>
        <v>4.3374316613265816E-2</v>
      </c>
      <c r="H9" s="31">
        <f ca="1">'Revenue Build'!K8</f>
        <v>4.4999999999999957E-2</v>
      </c>
      <c r="J9" s="83"/>
      <c r="L9" s="14" t="s">
        <v>37</v>
      </c>
      <c r="M9" s="105">
        <f ca="1">H25</f>
        <v>1070.9660549139044</v>
      </c>
      <c r="O9" s="14" t="s">
        <v>38</v>
      </c>
      <c r="P9" s="105">
        <f ca="1">H17+(-H14)</f>
        <v>3107.2452503518844</v>
      </c>
      <c r="S9" s="198">
        <f ca="1">M20</f>
        <v>154.22873867673107</v>
      </c>
      <c r="T9" s="233">
        <f t="shared" ref="T9:U9" si="0">U9-0.005</f>
        <v>1.4999999999999996E-2</v>
      </c>
      <c r="U9" s="233">
        <f t="shared" si="0"/>
        <v>1.9999999999999997E-2</v>
      </c>
      <c r="V9" s="233">
        <f>W9-0.005</f>
        <v>2.4999999999999998E-2</v>
      </c>
      <c r="W9" s="169">
        <v>0.03</v>
      </c>
      <c r="X9" s="233">
        <f>W9+0.005</f>
        <v>3.4999999999999996E-2</v>
      </c>
      <c r="Y9" s="233">
        <f t="shared" ref="Y9:Z9" si="1">X9+0.005</f>
        <v>3.9999999999999994E-2</v>
      </c>
      <c r="Z9" s="233">
        <f t="shared" si="1"/>
        <v>4.4999999999999991E-2</v>
      </c>
    </row>
    <row r="10" spans="2:26">
      <c r="B10" s="24" t="s">
        <v>88</v>
      </c>
      <c r="C10" s="99">
        <f ca="1">-Assumptions!F8</f>
        <v>-15463.638170324999</v>
      </c>
      <c r="D10" s="99">
        <f ca="1">-Assumptions!G8</f>
        <v>-15995.597057778938</v>
      </c>
      <c r="E10" s="99">
        <f ca="1">-Assumptions!H8</f>
        <v>-16571.573441680855</v>
      </c>
      <c r="F10" s="99">
        <f ca="1">-Assumptions!I8</f>
        <v>-17194.893536193347</v>
      </c>
      <c r="G10" s="99">
        <f ca="1">-Assumptions!J8</f>
        <v>-17869.233359127087</v>
      </c>
      <c r="H10" s="106">
        <f ca="1">-Assumptions!K8</f>
        <v>-18598.655464846655</v>
      </c>
      <c r="J10" s="83"/>
      <c r="L10" s="14" t="s">
        <v>39</v>
      </c>
      <c r="M10" s="159">
        <v>0.03</v>
      </c>
      <c r="O10" s="14" t="s">
        <v>40</v>
      </c>
      <c r="P10" s="224">
        <f>Comps!C19</f>
        <v>11</v>
      </c>
      <c r="S10" s="233">
        <f t="shared" ref="S10:S11" si="2">S11-0.006</f>
        <v>5.7999999999999989E-2</v>
      </c>
      <c r="T10" s="238">
        <f t="dataTable" ref="T10:Z16" dt2D="1" dtr="1" r1="M10" r2="P22" ca="1"/>
        <v>128.02149073904334</v>
      </c>
      <c r="U10" s="239">
        <v>135.62872878528938</v>
      </c>
      <c r="V10" s="239">
        <v>144.71750893798188</v>
      </c>
      <c r="W10" s="246">
        <v>155.76732822566643</v>
      </c>
      <c r="X10" s="246">
        <v>169.48962304987981</v>
      </c>
      <c r="Y10" s="246">
        <v>186.98730156232693</v>
      </c>
      <c r="Z10" s="247">
        <v>210.06695440453825</v>
      </c>
    </row>
    <row r="11" spans="2:26">
      <c r="B11" s="36" t="s">
        <v>14</v>
      </c>
      <c r="C11" s="219">
        <f ca="1">C8+C10</f>
        <v>8888.5479246749983</v>
      </c>
      <c r="D11" s="219">
        <f t="shared" ref="D11:H11" ca="1" si="3">D8+D10</f>
        <v>9293.88445649606</v>
      </c>
      <c r="E11" s="219">
        <f t="shared" ca="1" si="3"/>
        <v>9732.511386383987</v>
      </c>
      <c r="F11" s="219">
        <f t="shared" ca="1" si="3"/>
        <v>10207.327238616759</v>
      </c>
      <c r="G11" s="219">
        <f t="shared" ca="1" si="3"/>
        <v>10721.540015476243</v>
      </c>
      <c r="H11" s="220">
        <f t="shared" ca="1" si="3"/>
        <v>11278.702711613823</v>
      </c>
      <c r="J11" s="174">
        <f t="shared" ref="J11:J17" ca="1" si="4">(H11/C11)^(1/5)-1</f>
        <v>4.8783065405537673E-2</v>
      </c>
      <c r="L11" s="24" t="s">
        <v>34</v>
      </c>
      <c r="M11" s="106">
        <f ca="1">M9/(WACC!C18-M10)</f>
        <v>23107.681236100729</v>
      </c>
      <c r="O11" s="14" t="s">
        <v>34</v>
      </c>
      <c r="P11" s="105">
        <f ca="1">P9*P10</f>
        <v>34179.697753870729</v>
      </c>
      <c r="S11" s="233">
        <f t="shared" si="2"/>
        <v>6.3999999999999987E-2</v>
      </c>
      <c r="T11" s="240">
        <v>127.49509329433371</v>
      </c>
      <c r="U11" s="238">
        <v>135.10233134057975</v>
      </c>
      <c r="V11" s="239">
        <v>144.19111149327225</v>
      </c>
      <c r="W11" s="246">
        <v>155.2409307809568</v>
      </c>
      <c r="X11" s="246">
        <v>168.96322560517018</v>
      </c>
      <c r="Y11" s="247">
        <v>186.4609041176173</v>
      </c>
      <c r="Z11" s="243">
        <v>209.54055695982862</v>
      </c>
    </row>
    <row r="12" spans="2:26">
      <c r="B12" s="27" t="s">
        <v>15</v>
      </c>
      <c r="C12" s="30">
        <f ca="1">C11/C8</f>
        <v>0.36499999999999999</v>
      </c>
      <c r="D12" s="30">
        <f t="shared" ref="D12:H12" ca="1" si="5">D11/D8</f>
        <v>0.36749999999999994</v>
      </c>
      <c r="E12" s="30">
        <f t="shared" ca="1" si="5"/>
        <v>0.36999999999999983</v>
      </c>
      <c r="F12" s="30">
        <f t="shared" ca="1" si="5"/>
        <v>0.37249999999999978</v>
      </c>
      <c r="G12" s="30">
        <f t="shared" ca="1" si="5"/>
        <v>0.37499999999999978</v>
      </c>
      <c r="H12" s="31">
        <f t="shared" ca="1" si="5"/>
        <v>0.37749999999999978</v>
      </c>
      <c r="J12" s="83"/>
      <c r="L12" s="24" t="s">
        <v>41</v>
      </c>
      <c r="M12" s="106">
        <f ca="1">M11/(1+WACC!C18)^H26</f>
        <v>15848.979796869879</v>
      </c>
      <c r="O12" s="14" t="s">
        <v>41</v>
      </c>
      <c r="P12" s="105">
        <f ca="1">P11/(1+WACC!C18)^H26</f>
        <v>23442.998612855477</v>
      </c>
      <c r="S12" s="233">
        <f>S13-0.006</f>
        <v>6.9999999999999993E-2</v>
      </c>
      <c r="T12" s="240">
        <v>126.98238257217471</v>
      </c>
      <c r="U12" s="240">
        <v>134.58962061842081</v>
      </c>
      <c r="V12" s="238">
        <v>143.6784007711133</v>
      </c>
      <c r="W12" s="246">
        <v>154.7282200587978</v>
      </c>
      <c r="X12" s="247">
        <v>168.45051488301121</v>
      </c>
      <c r="Y12" s="243">
        <v>185.9481933954583</v>
      </c>
      <c r="Z12" s="243">
        <v>209.02784623766962</v>
      </c>
    </row>
    <row r="13" spans="2:26">
      <c r="B13" s="14" t="s">
        <v>16</v>
      </c>
      <c r="C13" s="84">
        <f ca="1">-Assumptions!F14</f>
        <v>-6940.373037074999</v>
      </c>
      <c r="D13" s="84">
        <f ca="1">-Assumptions!G14</f>
        <v>-7144.2785277826861</v>
      </c>
      <c r="E13" s="84">
        <f ca="1">-Assumptions!H14</f>
        <v>-7365.1437518581552</v>
      </c>
      <c r="F13" s="84">
        <f ca="1">-Assumptions!I14</f>
        <v>-7604.116265009804</v>
      </c>
      <c r="G13" s="84">
        <f ca="1">-Assumptions!J14</f>
        <v>-7862.4626780159151</v>
      </c>
      <c r="H13" s="105">
        <f ca="1">-Assumptions!K14</f>
        <v>-8141.5801030854791</v>
      </c>
      <c r="J13" s="83"/>
      <c r="L13" s="14"/>
      <c r="M13" s="94"/>
      <c r="O13" s="14"/>
      <c r="P13" s="94"/>
      <c r="S13" s="233">
        <v>7.5999999999999998E-2</v>
      </c>
      <c r="T13" s="240">
        <v>126.48290119010804</v>
      </c>
      <c r="U13" s="240">
        <v>134.09013923635408</v>
      </c>
      <c r="V13" s="240">
        <v>143.17891938904657</v>
      </c>
      <c r="W13" s="236">
        <v>154.22873867673107</v>
      </c>
      <c r="X13" s="243">
        <v>167.95103350094448</v>
      </c>
      <c r="Y13" s="243">
        <v>185.44871201339157</v>
      </c>
      <c r="Z13" s="243">
        <v>208.52836485560289</v>
      </c>
    </row>
    <row r="14" spans="2:26">
      <c r="B14" s="14" t="s">
        <v>17</v>
      </c>
      <c r="C14" s="84">
        <f ca="1">-Assumptions!F20</f>
        <v>-426.16325666249992</v>
      </c>
      <c r="D14" s="84">
        <f ca="1">-Assumptions!G20</f>
        <v>-531.07911179977498</v>
      </c>
      <c r="E14" s="84">
        <f ca="1">-Assumptions!H20</f>
        <v>-644.45007828758867</v>
      </c>
      <c r="F14" s="84">
        <f ca="1">-Assumptions!I20</f>
        <v>-767.26218169468302</v>
      </c>
      <c r="G14" s="84">
        <f ca="1">-Assumptions!J20</f>
        <v>-900.60936130000482</v>
      </c>
      <c r="H14" s="105">
        <f ca="1">-Assumptions!K20</f>
        <v>-1045.7075361761165</v>
      </c>
      <c r="J14" s="83"/>
      <c r="L14" s="55" t="s">
        <v>42</v>
      </c>
      <c r="M14" s="214">
        <f ca="1">SUM(C28:H28)</f>
        <v>5218.2432341091499</v>
      </c>
      <c r="O14" s="14" t="s">
        <v>42</v>
      </c>
      <c r="P14" s="105">
        <f ca="1">SUM(C28:H28)</f>
        <v>5218.2432341091499</v>
      </c>
      <c r="S14" s="233">
        <f>S13+0.006</f>
        <v>8.2000000000000003E-2</v>
      </c>
      <c r="T14" s="240">
        <v>125.99621001366742</v>
      </c>
      <c r="U14" s="240">
        <v>133.60344805991346</v>
      </c>
      <c r="V14" s="241">
        <v>142.69222821260595</v>
      </c>
      <c r="W14" s="242">
        <v>153.74204750029048</v>
      </c>
      <c r="X14" s="244">
        <v>167.46434232450389</v>
      </c>
      <c r="Y14" s="243">
        <v>184.96202083695098</v>
      </c>
      <c r="Z14" s="243">
        <v>208.0416736791623</v>
      </c>
    </row>
    <row r="15" spans="2:26">
      <c r="B15" s="14" t="s">
        <v>225</v>
      </c>
      <c r="C15" s="84">
        <f ca="1">-Assumptions!F26</f>
        <v>-24.352186094999997</v>
      </c>
      <c r="D15" s="84">
        <f ca="1">-Assumptions!G26</f>
        <v>-25.289481514275</v>
      </c>
      <c r="E15" s="84">
        <f ca="1">-Assumptions!H26</f>
        <v>-26.304084828064845</v>
      </c>
      <c r="F15" s="84">
        <f ca="1">-Assumptions!I26</f>
        <v>-27.402220774810107</v>
      </c>
      <c r="G15" s="84">
        <f ca="1">-Assumptions!J26</f>
        <v>-28.59077337460333</v>
      </c>
      <c r="H15" s="105">
        <f ca="1">-Assumptions!K26</f>
        <v>-29.877358176460479</v>
      </c>
      <c r="J15" s="83"/>
      <c r="L15" s="14" t="s">
        <v>43</v>
      </c>
      <c r="M15" s="105">
        <f ca="1">M14+M12</f>
        <v>21067.223030979028</v>
      </c>
      <c r="O15" s="14" t="s">
        <v>43</v>
      </c>
      <c r="P15" s="105">
        <f ca="1">P14+P12</f>
        <v>28661.241846964629</v>
      </c>
      <c r="S15" s="233">
        <f t="shared" ref="S15:S16" si="6">S14+0.006</f>
        <v>8.8000000000000009E-2</v>
      </c>
      <c r="T15" s="240">
        <v>125.52188731868428</v>
      </c>
      <c r="U15" s="241">
        <v>133.1291253649303</v>
      </c>
      <c r="V15" s="242">
        <v>142.2179055176228</v>
      </c>
      <c r="W15" s="242">
        <v>153.26772480530735</v>
      </c>
      <c r="X15" s="245">
        <v>166.99001962952076</v>
      </c>
      <c r="Y15" s="244">
        <v>184.48769814196785</v>
      </c>
      <c r="Z15" s="243">
        <v>207.56735098417917</v>
      </c>
    </row>
    <row r="16" spans="2:26">
      <c r="B16" s="24" t="s">
        <v>18</v>
      </c>
      <c r="C16" s="99">
        <f ca="1">-Assumptions!F32</f>
        <v>-170.465302665</v>
      </c>
      <c r="D16" s="99">
        <f ca="1">-Assumptions!G32</f>
        <v>0</v>
      </c>
      <c r="E16" s="99">
        <f ca="1">-Assumptions!H32</f>
        <v>0</v>
      </c>
      <c r="F16" s="99">
        <f ca="1">-Assumptions!I32</f>
        <v>0</v>
      </c>
      <c r="G16" s="99">
        <f ca="1">-Assumptions!J32</f>
        <v>0</v>
      </c>
      <c r="H16" s="106">
        <f ca="1">-Assumptions!K32</f>
        <v>0</v>
      </c>
      <c r="J16" s="83"/>
      <c r="L16" s="14" t="s">
        <v>44</v>
      </c>
      <c r="M16" s="19">
        <v>6.0861000000000001</v>
      </c>
      <c r="O16" s="14" t="s">
        <v>44</v>
      </c>
      <c r="P16" s="19">
        <v>6.0861000000000001</v>
      </c>
      <c r="R16" s="37"/>
      <c r="S16" s="233">
        <f t="shared" si="6"/>
        <v>9.4000000000000014E-2</v>
      </c>
      <c r="T16" s="241">
        <v>125.05952799684124</v>
      </c>
      <c r="U16" s="242">
        <v>132.66676604308728</v>
      </c>
      <c r="V16" s="242">
        <v>141.75554619577977</v>
      </c>
      <c r="W16" s="242">
        <v>152.80536548346433</v>
      </c>
      <c r="X16" s="245">
        <v>166.52766030767768</v>
      </c>
      <c r="Y16" s="245">
        <v>184.02533882012477</v>
      </c>
      <c r="Z16" s="244">
        <v>207.10499166233609</v>
      </c>
    </row>
    <row r="17" spans="2:26">
      <c r="B17" s="36" t="s">
        <v>19</v>
      </c>
      <c r="C17" s="219">
        <f ca="1">C11+C13+C14+C15+C16</f>
        <v>1327.1941421774993</v>
      </c>
      <c r="D17" s="219">
        <f t="shared" ref="D17:H17" ca="1" si="7">D11+D13+D14+D15+D16</f>
        <v>1593.2373353993239</v>
      </c>
      <c r="E17" s="219">
        <f t="shared" ca="1" si="7"/>
        <v>1696.6134714101784</v>
      </c>
      <c r="F17" s="219">
        <f t="shared" ca="1" si="7"/>
        <v>1808.546571137462</v>
      </c>
      <c r="G17" s="219">
        <f t="shared" ca="1" si="7"/>
        <v>1929.8772027857196</v>
      </c>
      <c r="H17" s="220">
        <f t="shared" ca="1" si="7"/>
        <v>2061.5377141757676</v>
      </c>
      <c r="J17" s="174">
        <f t="shared" ca="1" si="4"/>
        <v>9.2072234847589529E-2</v>
      </c>
      <c r="L17" s="14" t="s">
        <v>45</v>
      </c>
      <c r="M17" s="105">
        <f>'Financial Statements'!E30</f>
        <v>479.99099999999999</v>
      </c>
      <c r="O17" s="14" t="s">
        <v>45</v>
      </c>
      <c r="P17" s="105">
        <f>'Financial Statements'!E30</f>
        <v>479.99099999999999</v>
      </c>
    </row>
    <row r="18" spans="2:26">
      <c r="B18" s="27" t="s">
        <v>20</v>
      </c>
      <c r="C18" s="30">
        <f ca="1">C17/C8</f>
        <v>5.4499999999999979E-2</v>
      </c>
      <c r="D18" s="30">
        <f t="shared" ref="D18:H18" ca="1" si="8">D17/D8</f>
        <v>6.2999999999999959E-2</v>
      </c>
      <c r="E18" s="30">
        <f t="shared" ca="1" si="8"/>
        <v>6.4499999999999849E-2</v>
      </c>
      <c r="F18" s="30">
        <f t="shared" ca="1" si="8"/>
        <v>6.5999999999999823E-2</v>
      </c>
      <c r="G18" s="30">
        <f t="shared" ca="1" si="8"/>
        <v>6.7499999999999824E-2</v>
      </c>
      <c r="H18" s="31">
        <f t="shared" ca="1" si="8"/>
        <v>6.8999999999999825E-2</v>
      </c>
      <c r="L18" s="14" t="s">
        <v>46</v>
      </c>
      <c r="M18" s="105">
        <f ca="1">M15-M16+M17</f>
        <v>21541.127930979026</v>
      </c>
      <c r="O18" s="14" t="s">
        <v>46</v>
      </c>
      <c r="P18" s="105">
        <f ca="1">P15-P16+P17</f>
        <v>29135.14674696463</v>
      </c>
    </row>
    <row r="19" spans="2:26" ht="17" thickBot="1">
      <c r="B19" s="14" t="s">
        <v>21</v>
      </c>
      <c r="C19" s="84">
        <f ca="1">-Assumptions!F50</f>
        <v>-278.71076985727461</v>
      </c>
      <c r="D19" s="84">
        <f ca="1">-Assumptions!G50</f>
        <v>-334.5798404338579</v>
      </c>
      <c r="E19" s="84">
        <f ca="1">-Assumptions!H50</f>
        <v>-356.2888289961374</v>
      </c>
      <c r="F19" s="84">
        <f ca="1">-Assumptions!I50</f>
        <v>-379.79477993886735</v>
      </c>
      <c r="G19" s="84">
        <f ca="1">-Assumptions!J50</f>
        <v>-405.27421258500107</v>
      </c>
      <c r="H19" s="105">
        <f ca="1">-Assumptions!K50</f>
        <v>-432.92291997691109</v>
      </c>
      <c r="L19" s="14" t="s">
        <v>47</v>
      </c>
      <c r="M19" s="94">
        <v>139.66999999999999</v>
      </c>
      <c r="O19" s="14" t="s">
        <v>47</v>
      </c>
      <c r="P19" s="94">
        <v>139.66999999999999</v>
      </c>
      <c r="S19" s="258" t="s">
        <v>36</v>
      </c>
      <c r="T19" s="235"/>
      <c r="U19" s="235"/>
      <c r="V19" s="235"/>
      <c r="W19" s="177"/>
      <c r="X19" s="235"/>
      <c r="Y19" s="235"/>
      <c r="Z19" s="235"/>
    </row>
    <row r="20" spans="2:26" ht="17" thickBot="1">
      <c r="B20" s="28" t="s">
        <v>22</v>
      </c>
      <c r="C20" s="173">
        <f ca="1">-C19/C17</f>
        <v>0.20999999999999983</v>
      </c>
      <c r="D20" s="173">
        <f t="shared" ref="D20:H20" ca="1" si="9">-D19/D17</f>
        <v>0.20999999999999991</v>
      </c>
      <c r="E20" s="173">
        <f t="shared" ca="1" si="9"/>
        <v>0.20999999999999996</v>
      </c>
      <c r="F20" s="173">
        <f t="shared" ca="1" si="9"/>
        <v>0.21000000000000019</v>
      </c>
      <c r="G20" s="173">
        <f t="shared" ca="1" si="9"/>
        <v>0.20999999999999996</v>
      </c>
      <c r="H20" s="221">
        <f t="shared" ca="1" si="9"/>
        <v>0.20999999999999994</v>
      </c>
      <c r="L20" s="11" t="s">
        <v>48</v>
      </c>
      <c r="M20" s="223">
        <f ca="1">M18/M19</f>
        <v>154.22873867673107</v>
      </c>
      <c r="O20" s="231" t="s">
        <v>48</v>
      </c>
      <c r="P20" s="234">
        <f ca="1">P18/P19</f>
        <v>208.59989079232929</v>
      </c>
      <c r="S20" s="233"/>
      <c r="T20" s="209"/>
      <c r="U20" s="209"/>
      <c r="V20" s="209"/>
      <c r="W20" s="209"/>
      <c r="X20" s="209"/>
      <c r="Y20" s="209"/>
      <c r="Z20" s="209"/>
    </row>
    <row r="21" spans="2:26" ht="17" thickBot="1">
      <c r="B21" s="36" t="s">
        <v>23</v>
      </c>
      <c r="C21" s="219">
        <f ca="1">C17+C19</f>
        <v>1048.4833723202246</v>
      </c>
      <c r="D21" s="219">
        <f t="shared" ref="D21:H21" ca="1" si="10">D17+D19</f>
        <v>1258.657494965466</v>
      </c>
      <c r="E21" s="219">
        <f t="shared" ca="1" si="10"/>
        <v>1340.3246424140409</v>
      </c>
      <c r="F21" s="219">
        <f t="shared" ca="1" si="10"/>
        <v>1428.7517911985947</v>
      </c>
      <c r="G21" s="219">
        <f t="shared" ca="1" si="10"/>
        <v>1524.6029902007185</v>
      </c>
      <c r="H21" s="220">
        <f t="shared" ca="1" si="10"/>
        <v>1628.6147941988565</v>
      </c>
      <c r="S21" s="198">
        <f ca="1">P20</f>
        <v>208.59989079232929</v>
      </c>
      <c r="T21" s="235">
        <f t="shared" ref="T21:U21" si="11">U21-0.5</f>
        <v>9.5</v>
      </c>
      <c r="U21" s="235">
        <f t="shared" si="11"/>
        <v>10</v>
      </c>
      <c r="V21" s="235">
        <f>W21-0.5</f>
        <v>10.5</v>
      </c>
      <c r="W21" s="177">
        <v>11</v>
      </c>
      <c r="X21" s="235">
        <f>W21+0.5</f>
        <v>11.5</v>
      </c>
      <c r="Y21" s="235">
        <f t="shared" ref="Y21:Z21" si="12">X21+0.5</f>
        <v>12</v>
      </c>
      <c r="Z21" s="235">
        <f t="shared" si="12"/>
        <v>12.5</v>
      </c>
    </row>
    <row r="22" spans="2:26" ht="17" thickBot="1">
      <c r="B22" s="14" t="s">
        <v>17</v>
      </c>
      <c r="C22" s="84">
        <f ca="1">Assumptions!F20</f>
        <v>426.16325666249992</v>
      </c>
      <c r="D22" s="84">
        <f ca="1">Assumptions!G20</f>
        <v>531.07911179977498</v>
      </c>
      <c r="E22" s="84">
        <f ca="1">Assumptions!H20</f>
        <v>644.45007828758867</v>
      </c>
      <c r="F22" s="84">
        <f ca="1">Assumptions!I20</f>
        <v>767.26218169468302</v>
      </c>
      <c r="G22" s="84">
        <f ca="1">Assumptions!J20</f>
        <v>900.60936130000482</v>
      </c>
      <c r="H22" s="105">
        <f ca="1">Assumptions!K20</f>
        <v>1045.7075361761165</v>
      </c>
      <c r="L22" s="267" t="s">
        <v>49</v>
      </c>
      <c r="M22" s="268"/>
      <c r="O22" s="11" t="s">
        <v>50</v>
      </c>
      <c r="P22" s="225">
        <v>7.5999999999999998E-2</v>
      </c>
      <c r="S22" s="233">
        <f t="shared" ref="S22:S23" si="13">S23-0.006</f>
        <v>5.7999999999999989E-2</v>
      </c>
      <c r="T22" s="248">
        <f t="dataTable" ref="T22:Z28" dt2D="1" dtr="1" r1="P10" r2="P22" ca="1"/>
        <v>187.25044040343505</v>
      </c>
      <c r="U22" s="249">
        <v>194.87978704937822</v>
      </c>
      <c r="V22" s="249">
        <v>202.50913369532142</v>
      </c>
      <c r="W22" s="253">
        <v>210.1384803412646</v>
      </c>
      <c r="X22" s="253">
        <v>217.76782698720783</v>
      </c>
      <c r="Y22" s="253">
        <v>225.39717363315103</v>
      </c>
      <c r="Z22" s="254">
        <v>233.0265202790942</v>
      </c>
    </row>
    <row r="23" spans="2:26">
      <c r="B23" s="14" t="s">
        <v>24</v>
      </c>
      <c r="C23" s="84">
        <f ca="1">-Assumptions!F57</f>
        <v>-608.80465237499993</v>
      </c>
      <c r="D23" s="84">
        <f ca="1">-Assumptions!G57</f>
        <v>-758.68444542825</v>
      </c>
      <c r="E23" s="84">
        <f ca="1">-Assumptions!H57</f>
        <v>-920.64296898226962</v>
      </c>
      <c r="F23" s="84">
        <f ca="1">-Assumptions!I57</f>
        <v>-1096.0888309924044</v>
      </c>
      <c r="G23" s="84">
        <f ca="1">-Assumptions!J57</f>
        <v>-1286.5848018571498</v>
      </c>
      <c r="H23" s="105">
        <f ca="1">-Assumptions!K57</f>
        <v>-1493.8679088230238</v>
      </c>
      <c r="L23" s="14" t="s">
        <v>35</v>
      </c>
      <c r="M23" s="226">
        <f ca="1">M20</f>
        <v>154.22873867673107</v>
      </c>
      <c r="S23" s="233">
        <f t="shared" si="13"/>
        <v>6.3999999999999987E-2</v>
      </c>
      <c r="T23" s="250">
        <v>186.72404295872542</v>
      </c>
      <c r="U23" s="248">
        <v>194.35338960466859</v>
      </c>
      <c r="V23" s="249">
        <v>201.98273625061179</v>
      </c>
      <c r="W23" s="253">
        <v>209.61208289655497</v>
      </c>
      <c r="X23" s="253">
        <v>217.2414295424982</v>
      </c>
      <c r="Y23" s="254">
        <v>224.8707761884414</v>
      </c>
      <c r="Z23" s="255">
        <v>232.50012283438457</v>
      </c>
    </row>
    <row r="24" spans="2:26">
      <c r="B24" s="24" t="s">
        <v>25</v>
      </c>
      <c r="C24" s="99">
        <f ca="1">-'Calculations &amp; Schedules'!F19</f>
        <v>348.28002091625149</v>
      </c>
      <c r="D24" s="99">
        <f ca="1">-'Calculations &amp; Schedules'!G19</f>
        <v>-80.376883284862743</v>
      </c>
      <c r="E24" s="99">
        <f ca="1">-'Calculations &amp; Schedules'!H19</f>
        <v>-86.664545559258841</v>
      </c>
      <c r="F24" s="99">
        <f ca="1">-'Calculations &amp; Schedules'!I19</f>
        <v>-93.567938464428153</v>
      </c>
      <c r="G24" s="99">
        <f ca="1">-'Calculations &amp; Schedules'!J19</f>
        <v>-101.15172249263014</v>
      </c>
      <c r="H24" s="106">
        <f ca="1">-'Calculations &amp; Schedules'!K19</f>
        <v>-109.48836663804468</v>
      </c>
      <c r="L24" s="29" t="s">
        <v>51</v>
      </c>
      <c r="M24" s="227">
        <v>0.5</v>
      </c>
      <c r="O24" s="37"/>
      <c r="P24" s="37"/>
      <c r="S24" s="233">
        <f>S25-0.006</f>
        <v>6.9999999999999993E-2</v>
      </c>
      <c r="T24" s="250">
        <v>186.21133223656642</v>
      </c>
      <c r="U24" s="250">
        <v>193.84067888250959</v>
      </c>
      <c r="V24" s="248">
        <v>201.47002552845279</v>
      </c>
      <c r="W24" s="253">
        <v>209.09937217439597</v>
      </c>
      <c r="X24" s="254">
        <v>216.7287188203392</v>
      </c>
      <c r="Y24" s="255">
        <v>224.3580654662824</v>
      </c>
      <c r="Z24" s="255">
        <v>231.98741211222557</v>
      </c>
    </row>
    <row r="25" spans="2:26" s="37" customFormat="1">
      <c r="B25" s="36" t="s">
        <v>26</v>
      </c>
      <c r="C25" s="262">
        <f ca="1">C21+C22+C23+C24</f>
        <v>1214.121997523976</v>
      </c>
      <c r="D25" s="219">
        <f t="shared" ref="D25:H25" ca="1" si="14">D21+D22+D23+D24</f>
        <v>950.67527805212831</v>
      </c>
      <c r="E25" s="219">
        <f t="shared" ca="1" si="14"/>
        <v>977.46720616010111</v>
      </c>
      <c r="F25" s="219">
        <f t="shared" ca="1" si="14"/>
        <v>1006.3572034364452</v>
      </c>
      <c r="G25" s="219">
        <f t="shared" ca="1" si="14"/>
        <v>1037.4758271509434</v>
      </c>
      <c r="H25" s="220">
        <f t="shared" ca="1" si="14"/>
        <v>1070.9660549139044</v>
      </c>
      <c r="L25" s="14" t="s">
        <v>36</v>
      </c>
      <c r="M25" s="228">
        <f ca="1">P20</f>
        <v>208.59989079232929</v>
      </c>
      <c r="O25" s="6"/>
      <c r="P25" s="6"/>
      <c r="R25" s="6"/>
      <c r="S25" s="233">
        <v>7.5999999999999998E-2</v>
      </c>
      <c r="T25" s="250">
        <v>185.71185085449969</v>
      </c>
      <c r="U25" s="250">
        <v>193.34119750044292</v>
      </c>
      <c r="V25" s="250">
        <v>200.97054414638609</v>
      </c>
      <c r="W25" s="237">
        <v>208.59989079232929</v>
      </c>
      <c r="X25" s="255">
        <v>216.22923743827252</v>
      </c>
      <c r="Y25" s="255">
        <v>223.85858408421569</v>
      </c>
      <c r="Z25" s="255">
        <v>231.48793073015884</v>
      </c>
    </row>
    <row r="26" spans="2:26">
      <c r="B26" s="14" t="s">
        <v>27</v>
      </c>
      <c r="C26" s="18">
        <f>YEARFRAC(Cover!B18,C5)/2</f>
        <v>0.125</v>
      </c>
      <c r="D26" s="18">
        <f>C26+1</f>
        <v>1.125</v>
      </c>
      <c r="E26" s="18">
        <f t="shared" ref="E26:H26" si="15">D26+1</f>
        <v>2.125</v>
      </c>
      <c r="F26" s="18">
        <f t="shared" si="15"/>
        <v>3.125</v>
      </c>
      <c r="G26" s="18">
        <f t="shared" si="15"/>
        <v>4.125</v>
      </c>
      <c r="H26" s="19">
        <f t="shared" si="15"/>
        <v>5.125</v>
      </c>
      <c r="L26" s="29" t="s">
        <v>51</v>
      </c>
      <c r="M26" s="227">
        <v>0.5</v>
      </c>
      <c r="S26" s="233">
        <f>S25+0.006</f>
        <v>8.2000000000000003E-2</v>
      </c>
      <c r="T26" s="250">
        <v>185.22515967805913</v>
      </c>
      <c r="U26" s="250">
        <v>192.8545063240023</v>
      </c>
      <c r="V26" s="251">
        <v>200.4838529699455</v>
      </c>
      <c r="W26" s="252">
        <v>208.11319961588867</v>
      </c>
      <c r="X26" s="256">
        <v>215.7425462618319</v>
      </c>
      <c r="Y26" s="255">
        <v>223.37189290777511</v>
      </c>
      <c r="Z26" s="255">
        <v>231.00123955371828</v>
      </c>
    </row>
    <row r="27" spans="2:26" ht="17" thickBot="1">
      <c r="B27" s="14" t="s">
        <v>28</v>
      </c>
      <c r="C27" s="18">
        <f>1/(1+$P$22)^C26</f>
        <v>0.99088548361934714</v>
      </c>
      <c r="D27" s="18">
        <f t="shared" ref="D27:H27" si="16">1/(1+$P$22)^D26</f>
        <v>0.92089728960905859</v>
      </c>
      <c r="E27" s="18">
        <f t="shared" si="16"/>
        <v>0.85585249963667143</v>
      </c>
      <c r="F27" s="18">
        <f t="shared" si="16"/>
        <v>0.79540195133519653</v>
      </c>
      <c r="G27" s="18">
        <f t="shared" si="16"/>
        <v>0.73922114436356545</v>
      </c>
      <c r="H27" s="19">
        <f t="shared" si="16"/>
        <v>0.68700849847915002</v>
      </c>
      <c r="L27" s="229" t="s">
        <v>49</v>
      </c>
      <c r="M27" s="230">
        <f ca="1">(M23*M24)+(M25*M26)</f>
        <v>181.41431473453019</v>
      </c>
      <c r="S27" s="233">
        <f t="shared" ref="S27:S28" si="17">S26+0.006</f>
        <v>8.8000000000000009E-2</v>
      </c>
      <c r="T27" s="250">
        <v>184.750836983076</v>
      </c>
      <c r="U27" s="251">
        <v>192.38018362901914</v>
      </c>
      <c r="V27" s="252">
        <v>200.00953027496237</v>
      </c>
      <c r="W27" s="252">
        <v>207.63887692090555</v>
      </c>
      <c r="X27" s="257">
        <v>215.26822356684875</v>
      </c>
      <c r="Y27" s="256">
        <v>222.89757021279198</v>
      </c>
      <c r="Z27" s="255">
        <v>230.52691685873515</v>
      </c>
    </row>
    <row r="28" spans="2:26" ht="17" thickBot="1">
      <c r="B28" s="11" t="s">
        <v>29</v>
      </c>
      <c r="C28" s="215">
        <f ca="1">C25*C27</f>
        <v>1203.0558626894328</v>
      </c>
      <c r="D28" s="216">
        <f t="shared" ref="D28:H28" ca="1" si="18">D25*D27</f>
        <v>875.47428685654313</v>
      </c>
      <c r="E28" s="216">
        <f t="shared" ca="1" si="18"/>
        <v>836.56775170499623</v>
      </c>
      <c r="F28" s="216">
        <f t="shared" ca="1" si="18"/>
        <v>800.45848335357982</v>
      </c>
      <c r="G28" s="216">
        <f t="shared" ca="1" si="18"/>
        <v>766.92406819605696</v>
      </c>
      <c r="H28" s="222">
        <f t="shared" ca="1" si="18"/>
        <v>735.76278130854041</v>
      </c>
      <c r="L28" s="231" t="s">
        <v>52</v>
      </c>
      <c r="M28" s="232">
        <f ca="1">(M27-Summary!E8)/Summary!E8</f>
        <v>0.31297904562879214</v>
      </c>
      <c r="S28" s="233">
        <f t="shared" si="17"/>
        <v>9.4000000000000014E-2</v>
      </c>
      <c r="T28" s="251">
        <v>184.28847766123289</v>
      </c>
      <c r="U28" s="252">
        <v>191.91782430717612</v>
      </c>
      <c r="V28" s="252">
        <v>199.54717095311929</v>
      </c>
      <c r="W28" s="252">
        <v>207.17651759906249</v>
      </c>
      <c r="X28" s="257">
        <v>214.80586424500572</v>
      </c>
      <c r="Y28" s="257">
        <v>222.43521089094889</v>
      </c>
      <c r="Z28" s="256">
        <v>230.06455753689204</v>
      </c>
    </row>
    <row r="30" spans="2:26">
      <c r="T30" s="235"/>
      <c r="U30" s="235"/>
      <c r="V30" s="235"/>
      <c r="W30" s="177"/>
      <c r="X30" s="235"/>
      <c r="Y30" s="235"/>
      <c r="Z30" s="235"/>
    </row>
    <row r="31" spans="2:26">
      <c r="S31" s="233"/>
    </row>
    <row r="32" spans="2:26">
      <c r="S32" s="233"/>
    </row>
    <row r="33" spans="19:19">
      <c r="S33" s="233"/>
    </row>
    <row r="34" spans="19:19">
      <c r="S34" s="233"/>
    </row>
    <row r="35" spans="19:19">
      <c r="S35" s="233"/>
    </row>
    <row r="36" spans="19:19">
      <c r="S36" s="233"/>
    </row>
    <row r="37" spans="19:19">
      <c r="S37" s="233"/>
    </row>
  </sheetData>
  <mergeCells count="7">
    <mergeCell ref="T8:Z8"/>
    <mergeCell ref="L22:M22"/>
    <mergeCell ref="C3:H3"/>
    <mergeCell ref="L7:M7"/>
    <mergeCell ref="O7:P7"/>
    <mergeCell ref="L8:M8"/>
    <mergeCell ref="O8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048E-165E-3648-8C53-5A9206ECA0C4}">
  <dimension ref="A1:E20"/>
  <sheetViews>
    <sheetView showGridLines="0" workbookViewId="0">
      <selection activeCell="C3" sqref="C3"/>
    </sheetView>
  </sheetViews>
  <sheetFormatPr baseColWidth="10" defaultColWidth="0" defaultRowHeight="16" zeroHeight="1"/>
  <cols>
    <col min="1" max="1" width="4.33203125" customWidth="1"/>
    <col min="2" max="2" width="35.83203125" customWidth="1"/>
    <col min="3" max="5" width="10.83203125" customWidth="1"/>
    <col min="6" max="16384" width="10.83203125" hidden="1"/>
  </cols>
  <sheetData>
    <row r="1" spans="2:3"/>
    <row r="2" spans="2:3">
      <c r="B2" s="37" t="s">
        <v>172</v>
      </c>
      <c r="C2" s="37">
        <f>Summary!C2</f>
        <v>1</v>
      </c>
    </row>
    <row r="3" spans="2:3" ht="17" thickBot="1">
      <c r="B3" s="6"/>
      <c r="C3" s="6"/>
    </row>
    <row r="4" spans="2:3" ht="17" thickBot="1">
      <c r="B4" s="65" t="s">
        <v>200</v>
      </c>
      <c r="C4" s="158"/>
    </row>
    <row r="5" spans="2:3">
      <c r="B5" s="153" t="s">
        <v>201</v>
      </c>
      <c r="C5" s="163">
        <v>5.8299999999999998E-2</v>
      </c>
    </row>
    <row r="6" spans="2:3">
      <c r="B6" s="14" t="s">
        <v>202</v>
      </c>
      <c r="C6" s="94">
        <v>0.78200000000000003</v>
      </c>
    </row>
    <row r="7" spans="2:3">
      <c r="B7" s="14" t="s">
        <v>203</v>
      </c>
      <c r="C7" s="164">
        <v>4.1709999999999997E-2</v>
      </c>
    </row>
    <row r="8" spans="2:3">
      <c r="B8" s="36" t="s">
        <v>204</v>
      </c>
      <c r="C8" s="164">
        <f>C5*C6+C7</f>
        <v>8.7300600000000006E-2</v>
      </c>
    </row>
    <row r="9" spans="2:3">
      <c r="B9" s="14"/>
      <c r="C9" s="94"/>
    </row>
    <row r="10" spans="2:3">
      <c r="B10" s="14" t="s">
        <v>205</v>
      </c>
      <c r="C10" s="164">
        <v>5.8200000000000002E-2</v>
      </c>
    </row>
    <row r="11" spans="2:3">
      <c r="B11" s="14" t="s">
        <v>206</v>
      </c>
      <c r="C11" s="159">
        <v>0.21</v>
      </c>
    </row>
    <row r="12" spans="2:3">
      <c r="B12" s="36" t="s">
        <v>207</v>
      </c>
      <c r="C12" s="164">
        <f>C10*(1-C11)</f>
        <v>4.5978000000000005E-2</v>
      </c>
    </row>
    <row r="13" spans="2:3">
      <c r="B13" s="14"/>
      <c r="C13" s="94"/>
    </row>
    <row r="14" spans="2:3">
      <c r="B14" s="14" t="s">
        <v>208</v>
      </c>
      <c r="C14" s="160">
        <v>16873.28</v>
      </c>
    </row>
    <row r="15" spans="2:3">
      <c r="B15" s="14" t="s">
        <v>209</v>
      </c>
      <c r="C15" s="162">
        <v>6086.1</v>
      </c>
    </row>
    <row r="16" spans="2:3">
      <c r="B16" s="14" t="s">
        <v>210</v>
      </c>
      <c r="C16" s="156">
        <f>C14/(C14+C15)</f>
        <v>0.7349188000721274</v>
      </c>
    </row>
    <row r="17" spans="2:3">
      <c r="B17" s="14" t="s">
        <v>211</v>
      </c>
      <c r="C17" s="156">
        <f>C15/(C14+C15)</f>
        <v>0.26508119992787266</v>
      </c>
    </row>
    <row r="18" spans="2:3" ht="17" thickBot="1">
      <c r="B18" s="157" t="s">
        <v>212</v>
      </c>
      <c r="C18" s="161">
        <f>(C8*C16)+(C12*C17)</f>
        <v>7.63467556078605E-2</v>
      </c>
    </row>
    <row r="19" spans="2:3"/>
    <row r="20" spans="2: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09AA-6011-184D-A247-6319C37DC4D9}">
  <dimension ref="A1:M21"/>
  <sheetViews>
    <sheetView showGridLines="0" workbookViewId="0">
      <selection activeCell="D10" sqref="D10"/>
    </sheetView>
  </sheetViews>
  <sheetFormatPr baseColWidth="10" defaultColWidth="0" defaultRowHeight="16" zeroHeight="1"/>
  <cols>
    <col min="1" max="1" width="4.33203125" style="6" customWidth="1"/>
    <col min="2" max="2" width="35.83203125" style="6" customWidth="1"/>
    <col min="3" max="12" width="18.83203125" style="6" customWidth="1"/>
    <col min="13" max="13" width="10.83203125" style="6" customWidth="1"/>
    <col min="14" max="16384" width="10.83203125" style="6" hidden="1"/>
  </cols>
  <sheetData>
    <row r="1" spans="2:12"/>
    <row r="2" spans="2:12">
      <c r="B2" s="37" t="s">
        <v>172</v>
      </c>
      <c r="C2" s="37">
        <f>Summary!C2</f>
        <v>1</v>
      </c>
    </row>
    <row r="3" spans="2:12">
      <c r="B3" s="6" t="s">
        <v>3</v>
      </c>
    </row>
    <row r="4" spans="2:12" ht="17" thickBot="1"/>
    <row r="5" spans="2:12" ht="17" thickBot="1">
      <c r="B5" s="113" t="s">
        <v>226</v>
      </c>
      <c r="C5" s="176" t="s">
        <v>239</v>
      </c>
      <c r="D5" s="176" t="s">
        <v>65</v>
      </c>
      <c r="E5" s="176" t="s">
        <v>240</v>
      </c>
      <c r="F5" s="176" t="s">
        <v>241</v>
      </c>
      <c r="G5" s="176" t="s">
        <v>242</v>
      </c>
      <c r="H5" s="176" t="s">
        <v>243</v>
      </c>
      <c r="I5" s="176" t="s">
        <v>244</v>
      </c>
      <c r="J5" s="176" t="s">
        <v>245</v>
      </c>
      <c r="K5" s="176" t="s">
        <v>246</v>
      </c>
      <c r="L5" s="114" t="s">
        <v>247</v>
      </c>
    </row>
    <row r="6" spans="2:12">
      <c r="B6" s="153" t="s">
        <v>227</v>
      </c>
      <c r="C6" s="182">
        <v>3662.0810000000001</v>
      </c>
      <c r="D6" s="182">
        <v>6057.0810000000001</v>
      </c>
      <c r="E6" s="183">
        <v>0.42</v>
      </c>
      <c r="F6" s="183">
        <v>0.03</v>
      </c>
      <c r="G6" s="184">
        <v>6</v>
      </c>
      <c r="H6" s="184">
        <v>13</v>
      </c>
      <c r="I6" s="184">
        <v>1</v>
      </c>
      <c r="J6" s="184">
        <v>1</v>
      </c>
      <c r="K6" s="185">
        <v>-6</v>
      </c>
      <c r="L6" s="186">
        <v>23</v>
      </c>
    </row>
    <row r="7" spans="2:12">
      <c r="B7" s="14" t="s">
        <v>228</v>
      </c>
      <c r="C7" s="187">
        <v>69607.872000000003</v>
      </c>
      <c r="D7" s="187">
        <v>81629.72</v>
      </c>
      <c r="E7" s="188">
        <v>0.53</v>
      </c>
      <c r="F7" s="188">
        <v>0.22</v>
      </c>
      <c r="G7" s="189">
        <v>18</v>
      </c>
      <c r="H7" s="189">
        <v>18</v>
      </c>
      <c r="I7" s="189">
        <v>4</v>
      </c>
      <c r="J7" s="189">
        <v>4</v>
      </c>
      <c r="K7" s="190">
        <v>149</v>
      </c>
      <c r="L7" s="191">
        <v>25</v>
      </c>
    </row>
    <row r="8" spans="2:12">
      <c r="B8" s="14" t="s">
        <v>229</v>
      </c>
      <c r="C8" s="187">
        <v>7819.14</v>
      </c>
      <c r="D8" s="187">
        <v>13476.14</v>
      </c>
      <c r="E8" s="188">
        <v>0.39</v>
      </c>
      <c r="F8" s="188">
        <v>0.12</v>
      </c>
      <c r="G8" s="189">
        <v>6</v>
      </c>
      <c r="H8" s="189">
        <v>9</v>
      </c>
      <c r="I8" s="189">
        <v>1</v>
      </c>
      <c r="J8" s="189">
        <v>1</v>
      </c>
      <c r="K8" s="190">
        <v>3</v>
      </c>
      <c r="L8" s="191">
        <v>10</v>
      </c>
    </row>
    <row r="9" spans="2:12" ht="17" thickBot="1">
      <c r="B9" s="20" t="s">
        <v>230</v>
      </c>
      <c r="C9" s="192">
        <v>87793.951000000001</v>
      </c>
      <c r="D9" s="192">
        <v>95844.116999999998</v>
      </c>
      <c r="E9" s="193">
        <v>0.51</v>
      </c>
      <c r="F9" s="193">
        <v>0.22</v>
      </c>
      <c r="G9" s="194">
        <v>22</v>
      </c>
      <c r="H9" s="194">
        <v>24</v>
      </c>
      <c r="I9" s="194">
        <v>5</v>
      </c>
      <c r="J9" s="194">
        <v>5</v>
      </c>
      <c r="K9" s="195">
        <v>3</v>
      </c>
      <c r="L9" s="196">
        <v>32</v>
      </c>
    </row>
    <row r="10" spans="2:12" ht="17" thickBot="1">
      <c r="B10" s="11" t="s">
        <v>231</v>
      </c>
      <c r="C10" s="178">
        <v>19279.582999999999</v>
      </c>
      <c r="D10" s="178">
        <f>Summary!E12</f>
        <v>23086.492999999999</v>
      </c>
      <c r="E10" s="179">
        <v>0.37</v>
      </c>
      <c r="F10" s="179">
        <v>0.08</v>
      </c>
      <c r="G10" s="180">
        <v>11</v>
      </c>
      <c r="H10" s="180">
        <v>12</v>
      </c>
      <c r="I10" s="180">
        <v>1</v>
      </c>
      <c r="J10" s="180">
        <v>1</v>
      </c>
      <c r="K10" s="181">
        <v>6</v>
      </c>
      <c r="L10" s="197">
        <v>17</v>
      </c>
    </row>
    <row r="11" spans="2:12" ht="17" thickBot="1"/>
    <row r="12" spans="2:12">
      <c r="B12" s="199" t="s">
        <v>232</v>
      </c>
      <c r="C12" s="200">
        <f>MIN(C6:C10)</f>
        <v>3662.0810000000001</v>
      </c>
      <c r="D12" s="200">
        <f t="shared" ref="D12:L12" si="0">MIN(D6:D10)</f>
        <v>6057.0810000000001</v>
      </c>
      <c r="E12" s="183">
        <f t="shared" si="0"/>
        <v>0.37</v>
      </c>
      <c r="F12" s="183">
        <f t="shared" si="0"/>
        <v>0.03</v>
      </c>
      <c r="G12" s="201">
        <f t="shared" si="0"/>
        <v>6</v>
      </c>
      <c r="H12" s="201">
        <f t="shared" si="0"/>
        <v>9</v>
      </c>
      <c r="I12" s="201">
        <f t="shared" si="0"/>
        <v>1</v>
      </c>
      <c r="J12" s="201">
        <f t="shared" si="0"/>
        <v>1</v>
      </c>
      <c r="K12" s="202">
        <f t="shared" si="0"/>
        <v>-6</v>
      </c>
      <c r="L12" s="203">
        <f t="shared" si="0"/>
        <v>10</v>
      </c>
    </row>
    <row r="13" spans="2:12">
      <c r="B13" s="204" t="s">
        <v>233</v>
      </c>
      <c r="C13" s="205">
        <f>_xlfn.PERCENTILE.INC((C6:C10), 0.25)</f>
        <v>7819.14</v>
      </c>
      <c r="D13" s="205">
        <f t="shared" ref="D13:L13" si="1">_xlfn.PERCENTILE.INC((D6:D10), 0.25)</f>
        <v>13476.14</v>
      </c>
      <c r="E13" s="188">
        <f t="shared" si="1"/>
        <v>0.39</v>
      </c>
      <c r="F13" s="188">
        <f t="shared" si="1"/>
        <v>0.08</v>
      </c>
      <c r="G13" s="206">
        <f t="shared" si="1"/>
        <v>6</v>
      </c>
      <c r="H13" s="206">
        <f t="shared" si="1"/>
        <v>12</v>
      </c>
      <c r="I13" s="206">
        <f t="shared" si="1"/>
        <v>1</v>
      </c>
      <c r="J13" s="206">
        <f t="shared" si="1"/>
        <v>1</v>
      </c>
      <c r="K13" s="207">
        <f t="shared" si="1"/>
        <v>3</v>
      </c>
      <c r="L13" s="208">
        <f t="shared" si="1"/>
        <v>17</v>
      </c>
    </row>
    <row r="14" spans="2:12">
      <c r="B14" s="204" t="s">
        <v>234</v>
      </c>
      <c r="C14" s="205">
        <f>AVERAGE(C6:C10)</f>
        <v>37632.525399999999</v>
      </c>
      <c r="D14" s="205">
        <f t="shared" ref="D14:L14" si="2">AVERAGE(D6:D10)</f>
        <v>44018.710200000001</v>
      </c>
      <c r="E14" s="188">
        <f t="shared" si="2"/>
        <v>0.44399999999999995</v>
      </c>
      <c r="F14" s="188">
        <f t="shared" si="2"/>
        <v>0.13399999999999998</v>
      </c>
      <c r="G14" s="189">
        <f t="shared" si="2"/>
        <v>12.6</v>
      </c>
      <c r="H14" s="189">
        <f t="shared" si="2"/>
        <v>15.2</v>
      </c>
      <c r="I14" s="189">
        <f t="shared" si="2"/>
        <v>2.4</v>
      </c>
      <c r="J14" s="189">
        <f t="shared" si="2"/>
        <v>2.4</v>
      </c>
      <c r="K14" s="209">
        <f t="shared" si="2"/>
        <v>31</v>
      </c>
      <c r="L14" s="191">
        <f t="shared" si="2"/>
        <v>21.4</v>
      </c>
    </row>
    <row r="15" spans="2:12">
      <c r="B15" s="204" t="s">
        <v>235</v>
      </c>
      <c r="C15" s="205">
        <f>MEDIAN(C6:C10)</f>
        <v>19279.582999999999</v>
      </c>
      <c r="D15" s="205">
        <f t="shared" ref="D15:L15" si="3">MEDIAN(D6:D10)</f>
        <v>23086.492999999999</v>
      </c>
      <c r="E15" s="188">
        <f t="shared" si="3"/>
        <v>0.42</v>
      </c>
      <c r="F15" s="188">
        <f t="shared" si="3"/>
        <v>0.12</v>
      </c>
      <c r="G15" s="189">
        <f t="shared" si="3"/>
        <v>11</v>
      </c>
      <c r="H15" s="189">
        <f t="shared" si="3"/>
        <v>13</v>
      </c>
      <c r="I15" s="189">
        <f t="shared" si="3"/>
        <v>1</v>
      </c>
      <c r="J15" s="189">
        <f t="shared" si="3"/>
        <v>1</v>
      </c>
      <c r="K15" s="209">
        <f t="shared" si="3"/>
        <v>3</v>
      </c>
      <c r="L15" s="191">
        <f t="shared" si="3"/>
        <v>23</v>
      </c>
    </row>
    <row r="16" spans="2:12">
      <c r="B16" s="204" t="s">
        <v>236</v>
      </c>
      <c r="C16" s="205">
        <f>_xlfn.PERCENTILE.INC((C6:C10), 0.75)</f>
        <v>69607.872000000003</v>
      </c>
      <c r="D16" s="205">
        <f t="shared" ref="D16:L16" si="4">_xlfn.PERCENTILE.INC((D6:D10), 0.75)</f>
        <v>81629.72</v>
      </c>
      <c r="E16" s="188">
        <f t="shared" si="4"/>
        <v>0.51</v>
      </c>
      <c r="F16" s="188">
        <f t="shared" si="4"/>
        <v>0.22</v>
      </c>
      <c r="G16" s="206">
        <f t="shared" si="4"/>
        <v>18</v>
      </c>
      <c r="H16" s="206">
        <f t="shared" si="4"/>
        <v>18</v>
      </c>
      <c r="I16" s="206">
        <f t="shared" si="4"/>
        <v>4</v>
      </c>
      <c r="J16" s="206">
        <f t="shared" si="4"/>
        <v>4</v>
      </c>
      <c r="K16" s="207">
        <f t="shared" si="4"/>
        <v>6</v>
      </c>
      <c r="L16" s="208">
        <f t="shared" si="4"/>
        <v>25</v>
      </c>
    </row>
    <row r="17" spans="2:12" ht="17" thickBot="1">
      <c r="B17" s="210" t="s">
        <v>237</v>
      </c>
      <c r="C17" s="211">
        <f>MAX(C6:C10)</f>
        <v>87793.951000000001</v>
      </c>
      <c r="D17" s="211">
        <f t="shared" ref="D17:L17" si="5">MAX(D6:D10)</f>
        <v>95844.116999999998</v>
      </c>
      <c r="E17" s="193">
        <f t="shared" si="5"/>
        <v>0.53</v>
      </c>
      <c r="F17" s="193">
        <f t="shared" si="5"/>
        <v>0.22</v>
      </c>
      <c r="G17" s="194">
        <f t="shared" si="5"/>
        <v>22</v>
      </c>
      <c r="H17" s="194">
        <f t="shared" si="5"/>
        <v>24</v>
      </c>
      <c r="I17" s="194">
        <f t="shared" si="5"/>
        <v>5</v>
      </c>
      <c r="J17" s="194">
        <f t="shared" si="5"/>
        <v>5</v>
      </c>
      <c r="K17" s="212">
        <f t="shared" si="5"/>
        <v>149</v>
      </c>
      <c r="L17" s="196">
        <f t="shared" si="5"/>
        <v>32</v>
      </c>
    </row>
    <row r="18" spans="2:12" ht="17" thickBot="1"/>
    <row r="19" spans="2:12" ht="17" thickBot="1">
      <c r="B19" s="11" t="s">
        <v>238</v>
      </c>
      <c r="C19" s="213">
        <f>G15</f>
        <v>11</v>
      </c>
    </row>
    <row r="20" spans="2:12"/>
    <row r="21" spans="2:1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6C4D-D0B4-F34A-BC66-174679E881AB}">
  <dimension ref="A1:L47"/>
  <sheetViews>
    <sheetView showGridLines="0" workbookViewId="0">
      <selection activeCell="B15" sqref="B15"/>
    </sheetView>
  </sheetViews>
  <sheetFormatPr baseColWidth="10" defaultColWidth="0" defaultRowHeight="16" zeroHeight="1"/>
  <cols>
    <col min="1" max="1" width="4.33203125" customWidth="1"/>
    <col min="2" max="2" width="27" customWidth="1"/>
    <col min="3" max="3" width="1.83203125" customWidth="1"/>
    <col min="4" max="9" width="13.33203125" customWidth="1"/>
    <col min="10" max="10" width="2.83203125" customWidth="1"/>
    <col min="11" max="11" width="10.83203125" customWidth="1"/>
    <col min="12" max="12" width="4.33203125" customWidth="1"/>
    <col min="13" max="13" width="10.83203125" hidden="1" customWidth="1"/>
    <col min="14" max="16383" width="10.83203125" hidden="1"/>
    <col min="16384" max="16384" width="10.83203125" hidden="1" customWidth="1"/>
  </cols>
  <sheetData>
    <row r="1" spans="2:11"/>
    <row r="2" spans="2:11"/>
    <row r="3" spans="2:11" ht="21">
      <c r="D3" s="274" t="s">
        <v>33</v>
      </c>
      <c r="E3" s="274"/>
      <c r="F3" s="274"/>
      <c r="G3" s="274"/>
      <c r="H3" s="274"/>
      <c r="I3" s="274"/>
    </row>
    <row r="4" spans="2:11" ht="6" customHeight="1"/>
    <row r="5" spans="2:11">
      <c r="B5" s="8" t="s">
        <v>3</v>
      </c>
      <c r="C5" s="6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37"/>
      <c r="K5" s="45" t="s">
        <v>30</v>
      </c>
    </row>
    <row r="6" spans="2:11" ht="17" thickBot="1">
      <c r="B6" s="6"/>
      <c r="C6" s="6"/>
      <c r="D6" s="6"/>
      <c r="E6" s="6"/>
      <c r="F6" s="6"/>
      <c r="G6" s="6"/>
      <c r="H6" s="6"/>
      <c r="I6" s="6"/>
      <c r="J6" s="6"/>
      <c r="K6" s="6"/>
    </row>
    <row r="7" spans="2:11" ht="17" thickBot="1">
      <c r="B7" s="11" t="s">
        <v>10</v>
      </c>
      <c r="C7" s="9"/>
      <c r="D7" s="9"/>
      <c r="E7" s="9"/>
      <c r="F7" s="9"/>
      <c r="G7" s="9"/>
      <c r="H7" s="9"/>
      <c r="I7" s="10"/>
      <c r="J7" s="6"/>
      <c r="K7" s="6"/>
    </row>
    <row r="8" spans="2:11">
      <c r="B8" s="12" t="s">
        <v>11</v>
      </c>
      <c r="C8" s="13"/>
      <c r="D8" s="34">
        <v>24352186.094999999</v>
      </c>
      <c r="E8" s="34">
        <v>25289481.514274999</v>
      </c>
      <c r="F8" s="34">
        <v>26304084.828064844</v>
      </c>
      <c r="G8" s="34">
        <v>27402220.774810106</v>
      </c>
      <c r="H8" s="34">
        <v>28590773.374603327</v>
      </c>
      <c r="I8" s="35">
        <v>29877358.176460475</v>
      </c>
      <c r="J8" s="38"/>
      <c r="K8" s="70">
        <f>(I8/D8)^(1/(6-1))-1</f>
        <v>4.1743616547200046E-2</v>
      </c>
    </row>
    <row r="9" spans="2:11">
      <c r="B9" s="27" t="s">
        <v>12</v>
      </c>
      <c r="C9" s="6"/>
      <c r="D9" s="30">
        <v>3.6855834285544169E-2</v>
      </c>
      <c r="E9" s="30">
        <v>3.8489169539791195E-2</v>
      </c>
      <c r="F9" s="30">
        <v>4.0119577509611558E-2</v>
      </c>
      <c r="G9" s="30">
        <v>4.1747734388904417E-2</v>
      </c>
      <c r="H9" s="30">
        <v>4.3374316613265747E-2</v>
      </c>
      <c r="I9" s="31">
        <v>4.4999999999999915E-2</v>
      </c>
      <c r="J9" s="30"/>
      <c r="K9" s="71"/>
    </row>
    <row r="10" spans="2:11">
      <c r="B10" s="24" t="s">
        <v>13</v>
      </c>
      <c r="C10" s="7"/>
      <c r="D10" s="25">
        <v>-15463638.170325</v>
      </c>
      <c r="E10" s="25">
        <v>-15995597.05777894</v>
      </c>
      <c r="F10" s="25">
        <v>-16571573.441680854</v>
      </c>
      <c r="G10" s="25">
        <v>-17194893.536193345</v>
      </c>
      <c r="H10" s="25">
        <v>-17869233.359127086</v>
      </c>
      <c r="I10" s="26">
        <v>-18598655.464846652</v>
      </c>
      <c r="J10" s="15"/>
      <c r="K10" s="71"/>
    </row>
    <row r="11" spans="2:11">
      <c r="B11" s="36" t="s">
        <v>14</v>
      </c>
      <c r="C11" s="37"/>
      <c r="D11" s="38">
        <v>8888547.924674999</v>
      </c>
      <c r="E11" s="38">
        <v>9293884.4564960599</v>
      </c>
      <c r="F11" s="38">
        <v>9732511.3863839898</v>
      </c>
      <c r="G11" s="38">
        <v>10207327.238616761</v>
      </c>
      <c r="H11" s="38">
        <v>10721540.015476242</v>
      </c>
      <c r="I11" s="39">
        <v>11278702.711613823</v>
      </c>
      <c r="J11" s="38"/>
      <c r="K11" s="70">
        <f t="shared" ref="K11:K23" si="0">(I11/D11)^(1/(6-1))-1</f>
        <v>4.8783065405537673E-2</v>
      </c>
    </row>
    <row r="12" spans="2:11">
      <c r="B12" s="27" t="s">
        <v>15</v>
      </c>
      <c r="C12" s="6"/>
      <c r="D12" s="30">
        <v>0.36499999999999999</v>
      </c>
      <c r="E12" s="30">
        <v>0.36749999999999988</v>
      </c>
      <c r="F12" s="30">
        <v>0.36999999999999988</v>
      </c>
      <c r="G12" s="30">
        <v>0.37249999999999989</v>
      </c>
      <c r="H12" s="30">
        <v>0.37499999999999978</v>
      </c>
      <c r="I12" s="31">
        <v>0.37749999999999978</v>
      </c>
      <c r="J12" s="30"/>
      <c r="K12" s="71"/>
    </row>
    <row r="13" spans="2:11">
      <c r="B13" s="14" t="s">
        <v>16</v>
      </c>
      <c r="C13" s="6"/>
      <c r="D13" s="15">
        <v>-6940373.037074999</v>
      </c>
      <c r="E13" s="15">
        <v>-7144278.527782687</v>
      </c>
      <c r="F13" s="15">
        <v>-7365143.7518581552</v>
      </c>
      <c r="G13" s="15">
        <v>-7604116.2650098037</v>
      </c>
      <c r="H13" s="15">
        <v>-7862462.6780159138</v>
      </c>
      <c r="I13" s="16">
        <v>-8141580.1030854788</v>
      </c>
      <c r="J13" s="15"/>
      <c r="K13" s="71"/>
    </row>
    <row r="14" spans="2:11">
      <c r="B14" s="14" t="s">
        <v>55</v>
      </c>
      <c r="C14" s="6"/>
      <c r="D14" s="15">
        <v>-24352.186095000001</v>
      </c>
      <c r="E14" s="15">
        <v>-25289.481514275001</v>
      </c>
      <c r="F14" s="15">
        <v>-26304.084828064846</v>
      </c>
      <c r="G14" s="15">
        <v>-27402.220774810106</v>
      </c>
      <c r="H14" s="15">
        <v>-28590.773374603326</v>
      </c>
      <c r="I14" s="16">
        <v>-29877.358176460475</v>
      </c>
      <c r="J14" s="15"/>
      <c r="K14" s="71"/>
    </row>
    <row r="15" spans="2:11">
      <c r="B15" s="24" t="s">
        <v>18</v>
      </c>
      <c r="C15" s="7"/>
      <c r="D15" s="25">
        <v>-170465.302665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  <c r="J15" s="15"/>
      <c r="K15" s="71"/>
    </row>
    <row r="16" spans="2:11">
      <c r="B16" s="36" t="s">
        <v>31</v>
      </c>
      <c r="C16" s="6"/>
      <c r="D16" s="47">
        <f>D19-D18</f>
        <v>1753357.3988399999</v>
      </c>
      <c r="E16" s="47">
        <f t="shared" ref="E16:I16" si="1">E19-E18</f>
        <v>2124316.4471990978</v>
      </c>
      <c r="F16" s="47">
        <f t="shared" si="1"/>
        <v>2341063.5496977698</v>
      </c>
      <c r="G16" s="47">
        <f t="shared" si="1"/>
        <v>2575808.7528321473</v>
      </c>
      <c r="H16" s="47">
        <f t="shared" si="1"/>
        <v>2830486.5640857248</v>
      </c>
      <c r="I16" s="48">
        <f t="shared" si="1"/>
        <v>3107245.2503518835</v>
      </c>
      <c r="J16" s="15"/>
      <c r="K16" s="70">
        <f t="shared" si="0"/>
        <v>0.1212462834115311</v>
      </c>
    </row>
    <row r="17" spans="2:11">
      <c r="B17" s="27" t="s">
        <v>32</v>
      </c>
      <c r="C17" s="6"/>
      <c r="D17" s="30">
        <f t="shared" ref="D17:I17" si="2">D16/D8</f>
        <v>7.1999999999999995E-2</v>
      </c>
      <c r="E17" s="30">
        <f t="shared" si="2"/>
        <v>8.3999999999999922E-2</v>
      </c>
      <c r="F17" s="30">
        <f t="shared" si="2"/>
        <v>8.8999999999999954E-2</v>
      </c>
      <c r="G17" s="30">
        <f t="shared" si="2"/>
        <v>9.3999999999999903E-2</v>
      </c>
      <c r="H17" s="30">
        <f t="shared" si="2"/>
        <v>9.8999999999999838E-2</v>
      </c>
      <c r="I17" s="31">
        <f t="shared" si="2"/>
        <v>0.1039999999999998</v>
      </c>
      <c r="J17" s="15"/>
      <c r="K17" s="71"/>
    </row>
    <row r="18" spans="2:11">
      <c r="B18" s="24" t="s">
        <v>17</v>
      </c>
      <c r="C18" s="7"/>
      <c r="D18" s="25">
        <v>-426163.25666249992</v>
      </c>
      <c r="E18" s="25">
        <v>-531079.11179977492</v>
      </c>
      <c r="F18" s="25">
        <v>-644450.07828758867</v>
      </c>
      <c r="G18" s="25">
        <v>-767262.1816946828</v>
      </c>
      <c r="H18" s="25">
        <v>-900609.36130000476</v>
      </c>
      <c r="I18" s="26">
        <v>-1045707.5361761164</v>
      </c>
      <c r="J18" s="15"/>
      <c r="K18" s="71"/>
    </row>
    <row r="19" spans="2:11">
      <c r="B19" s="36" t="s">
        <v>19</v>
      </c>
      <c r="C19" s="37"/>
      <c r="D19" s="38">
        <v>1327194.1421775001</v>
      </c>
      <c r="E19" s="38">
        <v>1593237.3353993229</v>
      </c>
      <c r="F19" s="38">
        <v>1696613.4714101811</v>
      </c>
      <c r="G19" s="38">
        <v>1808546.5711374644</v>
      </c>
      <c r="H19" s="38">
        <v>1929877.2027857199</v>
      </c>
      <c r="I19" s="39">
        <v>2061537.714175767</v>
      </c>
      <c r="J19" s="38"/>
      <c r="K19" s="70">
        <f t="shared" si="0"/>
        <v>9.2072234847589307E-2</v>
      </c>
    </row>
    <row r="20" spans="2:11">
      <c r="B20" s="27" t="s">
        <v>20</v>
      </c>
      <c r="C20" s="6"/>
      <c r="D20" s="30">
        <v>5.4500000000000007E-2</v>
      </c>
      <c r="E20" s="30">
        <v>6.2999999999999917E-2</v>
      </c>
      <c r="F20" s="30">
        <v>6.4499999999999946E-2</v>
      </c>
      <c r="G20" s="30">
        <v>6.5999999999999906E-2</v>
      </c>
      <c r="H20" s="30">
        <v>6.7499999999999838E-2</v>
      </c>
      <c r="I20" s="31">
        <v>6.8999999999999811E-2</v>
      </c>
      <c r="J20" s="30"/>
      <c r="K20" s="71"/>
    </row>
    <row r="21" spans="2:11">
      <c r="B21" s="14" t="s">
        <v>21</v>
      </c>
      <c r="C21" s="6"/>
      <c r="D21" s="15">
        <v>-278710.76985727495</v>
      </c>
      <c r="E21" s="15">
        <v>-334579.84043385787</v>
      </c>
      <c r="F21" s="15">
        <v>-356288.82899613807</v>
      </c>
      <c r="G21" s="15">
        <v>-379794.77993886737</v>
      </c>
      <c r="H21" s="15">
        <v>-405274.21258500102</v>
      </c>
      <c r="I21" s="16">
        <v>-432922.91997691093</v>
      </c>
      <c r="J21" s="15"/>
      <c r="K21" s="71"/>
    </row>
    <row r="22" spans="2:11">
      <c r="B22" s="28" t="s">
        <v>22</v>
      </c>
      <c r="C22" s="7"/>
      <c r="D22" s="32">
        <v>0.20999999999999996</v>
      </c>
      <c r="E22" s="32">
        <v>0.21000000000000005</v>
      </c>
      <c r="F22" s="32">
        <v>0.21000000000000002</v>
      </c>
      <c r="G22" s="32">
        <v>0.20999999999999991</v>
      </c>
      <c r="H22" s="32">
        <v>0.20999999999999991</v>
      </c>
      <c r="I22" s="33">
        <v>0.20999999999999994</v>
      </c>
      <c r="J22" s="43"/>
      <c r="K22" s="71"/>
    </row>
    <row r="23" spans="2:11">
      <c r="B23" s="36" t="s">
        <v>23</v>
      </c>
      <c r="C23" s="37"/>
      <c r="D23" s="38">
        <v>1048483.3723202251</v>
      </c>
      <c r="E23" s="38">
        <v>1258657.494965465</v>
      </c>
      <c r="F23" s="38">
        <v>1340324.6424140432</v>
      </c>
      <c r="G23" s="38">
        <v>1428751.7911985971</v>
      </c>
      <c r="H23" s="38">
        <v>1524602.9902007189</v>
      </c>
      <c r="I23" s="39">
        <v>1628614.7941988562</v>
      </c>
      <c r="J23" s="38"/>
      <c r="K23" s="70">
        <f t="shared" si="0"/>
        <v>9.2072234847589529E-2</v>
      </c>
    </row>
    <row r="24" spans="2:11">
      <c r="B24" s="14" t="s">
        <v>24</v>
      </c>
      <c r="C24" s="6"/>
      <c r="D24" s="15">
        <v>-608804.65237499995</v>
      </c>
      <c r="E24" s="15">
        <v>-758684.44542825001</v>
      </c>
      <c r="F24" s="15">
        <v>-920642.96898226964</v>
      </c>
      <c r="G24" s="15">
        <v>-1096088.8309924041</v>
      </c>
      <c r="H24" s="15">
        <v>-1286584.8018571497</v>
      </c>
      <c r="I24" s="16">
        <v>-1493867.9088230236</v>
      </c>
      <c r="J24" s="17"/>
      <c r="K24" s="71"/>
    </row>
    <row r="25" spans="2:11">
      <c r="B25" s="24" t="s">
        <v>25</v>
      </c>
      <c r="C25" s="7"/>
      <c r="D25" s="25">
        <v>348280.0209162524</v>
      </c>
      <c r="E25" s="25">
        <v>-80376.883284862153</v>
      </c>
      <c r="F25" s="25">
        <v>-86664.545559257269</v>
      </c>
      <c r="G25" s="25">
        <v>-93567.938464432955</v>
      </c>
      <c r="H25" s="25">
        <v>-101151.7224926278</v>
      </c>
      <c r="I25" s="26">
        <v>-109488.36663804203</v>
      </c>
      <c r="J25" s="15"/>
      <c r="K25" s="71"/>
    </row>
    <row r="26" spans="2:11">
      <c r="B26" s="36" t="s">
        <v>26</v>
      </c>
      <c r="C26" s="37"/>
      <c r="D26" s="38">
        <v>1214121.9975239774</v>
      </c>
      <c r="E26" s="38">
        <v>950675.2780521278</v>
      </c>
      <c r="F26" s="38">
        <v>977467.20616010483</v>
      </c>
      <c r="G26" s="38">
        <v>1006357.2034364429</v>
      </c>
      <c r="H26" s="38">
        <v>1037475.827150946</v>
      </c>
      <c r="I26" s="39">
        <v>1070966.0549139073</v>
      </c>
      <c r="J26" s="15"/>
      <c r="K26" s="71"/>
    </row>
    <row r="27" spans="2:11">
      <c r="B27" s="14" t="s">
        <v>27</v>
      </c>
      <c r="C27" s="6"/>
      <c r="D27" s="18">
        <v>0.125</v>
      </c>
      <c r="E27" s="18">
        <v>1.125</v>
      </c>
      <c r="F27" s="18">
        <v>2.125</v>
      </c>
      <c r="G27" s="18">
        <v>3.125</v>
      </c>
      <c r="H27" s="18">
        <v>4.125</v>
      </c>
      <c r="I27" s="19">
        <v>5.125</v>
      </c>
      <c r="J27" s="38"/>
      <c r="K27" s="70">
        <f>(I26/D26)^(1/(6-1))-1</f>
        <v>-2.4779828657505054E-2</v>
      </c>
    </row>
    <row r="28" spans="2:11" ht="17" thickBot="1">
      <c r="B28" s="20" t="s">
        <v>28</v>
      </c>
      <c r="C28" s="21"/>
      <c r="D28" s="22">
        <v>0.99088548361934714</v>
      </c>
      <c r="E28" s="22">
        <v>0.92089728960905859</v>
      </c>
      <c r="F28" s="22">
        <v>0.85585249963667143</v>
      </c>
      <c r="G28" s="22">
        <v>0.79540195133519653</v>
      </c>
      <c r="H28" s="22">
        <v>0.73922114436356545</v>
      </c>
      <c r="I28" s="23">
        <v>0.68700849847915002</v>
      </c>
      <c r="J28" s="18"/>
      <c r="K28" s="18"/>
    </row>
    <row r="29" spans="2:11" ht="17" thickBot="1">
      <c r="B29" s="11" t="s">
        <v>29</v>
      </c>
      <c r="C29" s="40"/>
      <c r="D29" s="41">
        <f>D26*D28</f>
        <v>1203055.8626894341</v>
      </c>
      <c r="E29" s="41">
        <f t="shared" ref="E29:I29" si="3">E26*E28</f>
        <v>875474.28685654269</v>
      </c>
      <c r="F29" s="41">
        <f t="shared" si="3"/>
        <v>836567.75170499936</v>
      </c>
      <c r="G29" s="41">
        <f t="shared" si="3"/>
        <v>800458.48335357802</v>
      </c>
      <c r="H29" s="41">
        <f t="shared" si="3"/>
        <v>766924.06819605897</v>
      </c>
      <c r="I29" s="42">
        <f t="shared" si="3"/>
        <v>735762.78130854235</v>
      </c>
      <c r="J29" s="18"/>
      <c r="K29" s="18"/>
    </row>
    <row r="30" spans="2:11">
      <c r="J30" s="44"/>
      <c r="K30" s="44"/>
    </row>
    <row r="31" spans="2:11"/>
    <row r="32" spans="2:11"/>
    <row r="33" spans="4:4"/>
    <row r="34" spans="4:4"/>
    <row r="35" spans="4:4"/>
    <row r="36" spans="4:4"/>
    <row r="40" spans="4:4" hidden="1">
      <c r="D40" s="5"/>
    </row>
    <row r="47" spans="4:4"/>
  </sheetData>
  <mergeCells count="1">
    <mergeCell ref="D3:I3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57E6-C06C-F347-A294-2643E81762F8}">
  <dimension ref="B2:F25"/>
  <sheetViews>
    <sheetView showGridLines="0" workbookViewId="0">
      <selection activeCell="E4" activeCellId="1" sqref="B4:C4 E4:F4"/>
    </sheetView>
  </sheetViews>
  <sheetFormatPr baseColWidth="10" defaultRowHeight="16"/>
  <cols>
    <col min="1" max="1" width="4.33203125" customWidth="1"/>
    <col min="2" max="2" width="25.83203125" customWidth="1"/>
    <col min="5" max="5" width="25.83203125" customWidth="1"/>
    <col min="7" max="7" width="4.33203125" customWidth="1"/>
  </cols>
  <sheetData>
    <row r="2" spans="2:6" ht="17" thickBot="1"/>
    <row r="3" spans="2:6" ht="20" customHeight="1">
      <c r="B3" s="275" t="s">
        <v>34</v>
      </c>
      <c r="C3" s="276"/>
      <c r="D3" s="6"/>
      <c r="E3" s="275" t="s">
        <v>34</v>
      </c>
      <c r="F3" s="277"/>
    </row>
    <row r="4" spans="2:6" ht="18" customHeight="1">
      <c r="B4" s="278" t="s">
        <v>35</v>
      </c>
      <c r="C4" s="279"/>
      <c r="D4" s="69"/>
      <c r="E4" s="278" t="s">
        <v>36</v>
      </c>
      <c r="F4" s="279"/>
    </row>
    <row r="5" spans="2:6">
      <c r="B5" s="14" t="s">
        <v>37</v>
      </c>
      <c r="C5" s="49">
        <v>1070966.0549139073</v>
      </c>
      <c r="D5" s="6"/>
      <c r="E5" s="14" t="s">
        <v>38</v>
      </c>
      <c r="F5" s="49">
        <v>3107245.2503518835</v>
      </c>
    </row>
    <row r="6" spans="2:6">
      <c r="B6" s="14" t="s">
        <v>39</v>
      </c>
      <c r="C6" s="60">
        <v>0.03</v>
      </c>
      <c r="D6" s="6"/>
      <c r="E6" s="14" t="s">
        <v>40</v>
      </c>
      <c r="F6" s="50">
        <v>11</v>
      </c>
    </row>
    <row r="7" spans="2:6">
      <c r="B7" s="14" t="s">
        <v>34</v>
      </c>
      <c r="C7" s="49">
        <v>23107681.236100793</v>
      </c>
      <c r="D7" s="6"/>
      <c r="E7" s="14" t="s">
        <v>34</v>
      </c>
      <c r="F7" s="49">
        <v>34179697.753870718</v>
      </c>
    </row>
    <row r="8" spans="2:6">
      <c r="B8" s="51" t="s">
        <v>41</v>
      </c>
      <c r="C8" s="52">
        <v>15848979.796869922</v>
      </c>
      <c r="D8" s="6"/>
      <c r="E8" s="51" t="s">
        <v>41</v>
      </c>
      <c r="F8" s="52">
        <v>23442998.612855472</v>
      </c>
    </row>
    <row r="9" spans="2:6">
      <c r="B9" s="14"/>
      <c r="C9" s="53"/>
      <c r="D9" s="6"/>
      <c r="E9" s="14"/>
      <c r="F9" s="54"/>
    </row>
    <row r="10" spans="2:6">
      <c r="B10" s="55" t="s">
        <v>42</v>
      </c>
      <c r="C10" s="56">
        <v>5218243.2341091549</v>
      </c>
      <c r="D10" s="6"/>
      <c r="E10" s="55" t="s">
        <v>42</v>
      </c>
      <c r="F10" s="49">
        <v>5218243.2341091549</v>
      </c>
    </row>
    <row r="11" spans="2:6">
      <c r="B11" s="14" t="s">
        <v>41</v>
      </c>
      <c r="C11" s="49">
        <v>15848979.796869922</v>
      </c>
      <c r="D11" s="6"/>
      <c r="E11" s="14" t="s">
        <v>41</v>
      </c>
      <c r="F11" s="49">
        <v>23442998.612855472</v>
      </c>
    </row>
    <row r="12" spans="2:6">
      <c r="B12" s="14" t="s">
        <v>43</v>
      </c>
      <c r="C12" s="49">
        <v>21067223.030979078</v>
      </c>
      <c r="D12" s="6"/>
      <c r="E12" s="14" t="s">
        <v>43</v>
      </c>
      <c r="F12" s="49">
        <v>28661241.846964628</v>
      </c>
    </row>
    <row r="13" spans="2:6">
      <c r="B13" s="14" t="s">
        <v>44</v>
      </c>
      <c r="C13" s="53">
        <v>6086.1</v>
      </c>
      <c r="D13" s="6"/>
      <c r="E13" s="14" t="s">
        <v>44</v>
      </c>
      <c r="F13" s="53">
        <v>6086.1</v>
      </c>
    </row>
    <row r="14" spans="2:6">
      <c r="B14" s="14" t="s">
        <v>45</v>
      </c>
      <c r="C14" s="49">
        <v>479991</v>
      </c>
      <c r="D14" s="6"/>
      <c r="E14" s="14" t="s">
        <v>45</v>
      </c>
      <c r="F14" s="49">
        <v>479991</v>
      </c>
    </row>
    <row r="15" spans="2:6">
      <c r="B15" s="14" t="s">
        <v>46</v>
      </c>
      <c r="C15" s="49">
        <v>21541127.930979077</v>
      </c>
      <c r="D15" s="6"/>
      <c r="E15" s="14" t="s">
        <v>46</v>
      </c>
      <c r="F15" s="49">
        <v>29135146.746964626</v>
      </c>
    </row>
    <row r="16" spans="2:6" ht="17" thickBot="1">
      <c r="B16" s="14" t="s">
        <v>47</v>
      </c>
      <c r="C16" s="49">
        <v>139670</v>
      </c>
      <c r="D16" s="6"/>
      <c r="E16" s="14" t="s">
        <v>47</v>
      </c>
      <c r="F16" s="49">
        <v>139670</v>
      </c>
    </row>
    <row r="17" spans="2:6" ht="17" thickBot="1">
      <c r="B17" s="11" t="s">
        <v>48</v>
      </c>
      <c r="C17" s="61">
        <v>154.22873867673141</v>
      </c>
      <c r="D17" s="6"/>
      <c r="E17" s="62" t="s">
        <v>48</v>
      </c>
      <c r="F17" s="63">
        <v>208.59989079232923</v>
      </c>
    </row>
    <row r="18" spans="2:6" ht="17" thickBot="1">
      <c r="B18" s="6"/>
      <c r="C18" s="6"/>
      <c r="D18" s="6"/>
      <c r="E18" s="6"/>
      <c r="F18" s="6"/>
    </row>
    <row r="19" spans="2:6" ht="17" thickBot="1">
      <c r="B19" s="267" t="s">
        <v>49</v>
      </c>
      <c r="C19" s="268"/>
      <c r="D19" s="6"/>
      <c r="E19" s="11" t="s">
        <v>50</v>
      </c>
      <c r="F19" s="64">
        <v>7.5999999999999998E-2</v>
      </c>
    </row>
    <row r="20" spans="2:6">
      <c r="B20" s="14" t="s">
        <v>35</v>
      </c>
      <c r="C20" s="57">
        <f>C17</f>
        <v>154.22873867673141</v>
      </c>
      <c r="D20" s="6"/>
      <c r="E20" s="58"/>
      <c r="F20" s="58"/>
    </row>
    <row r="21" spans="2:6">
      <c r="B21" s="29" t="s">
        <v>51</v>
      </c>
      <c r="C21" s="59">
        <v>0.5</v>
      </c>
      <c r="D21" s="6"/>
      <c r="E21" s="6"/>
      <c r="F21" s="6"/>
    </row>
    <row r="22" spans="2:6">
      <c r="B22" s="14" t="s">
        <v>36</v>
      </c>
      <c r="C22" s="57">
        <f>F17</f>
        <v>208.59989079232923</v>
      </c>
      <c r="D22" s="6"/>
      <c r="E22" s="6"/>
      <c r="F22" s="6"/>
    </row>
    <row r="23" spans="2:6" ht="17" thickBot="1">
      <c r="B23" s="29" t="s">
        <v>51</v>
      </c>
      <c r="C23" s="59">
        <v>0.5</v>
      </c>
      <c r="D23" s="6"/>
      <c r="E23" s="6"/>
      <c r="F23" s="6"/>
    </row>
    <row r="24" spans="2:6" ht="20" customHeight="1" thickBot="1">
      <c r="B24" s="65" t="s">
        <v>49</v>
      </c>
      <c r="C24" s="66">
        <f>C20*C21+C22*C23</f>
        <v>181.41431473453031</v>
      </c>
      <c r="D24" s="6"/>
      <c r="E24" s="6"/>
      <c r="F24" s="6"/>
    </row>
    <row r="25" spans="2:6" ht="20" customHeight="1" thickBot="1">
      <c r="B25" s="67" t="s">
        <v>52</v>
      </c>
      <c r="C25" s="68">
        <v>0.31297904562879297</v>
      </c>
      <c r="D25" s="6"/>
      <c r="E25" s="6"/>
      <c r="F25" s="6"/>
    </row>
  </sheetData>
  <mergeCells count="5">
    <mergeCell ref="B3:C3"/>
    <mergeCell ref="E3:F3"/>
    <mergeCell ref="B4:C4"/>
    <mergeCell ref="E4:F4"/>
    <mergeCell ref="B19:C19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EACD-5B4D-5E4B-BF02-37247439AC21}">
  <dimension ref="A1:R47"/>
  <sheetViews>
    <sheetView showGridLines="0" workbookViewId="0">
      <selection activeCell="I32" sqref="I32"/>
    </sheetView>
  </sheetViews>
  <sheetFormatPr baseColWidth="10" defaultColWidth="0" defaultRowHeight="0" customHeight="1" zeroHeight="1"/>
  <cols>
    <col min="1" max="1" width="2.83203125" customWidth="1"/>
    <col min="2" max="2" width="27" customWidth="1"/>
    <col min="3" max="3" width="1.83203125" customWidth="1"/>
    <col min="4" max="9" width="13.33203125" customWidth="1"/>
    <col min="10" max="10" width="2.83203125" customWidth="1"/>
    <col min="11" max="11" width="13.33203125" customWidth="1"/>
    <col min="12" max="12" width="4.33203125" customWidth="1"/>
    <col min="13" max="13" width="25.83203125" customWidth="1"/>
    <col min="14" max="14" width="13.33203125" customWidth="1"/>
    <col min="15" max="15" width="4.33203125" customWidth="1"/>
    <col min="16" max="16" width="25.83203125" customWidth="1"/>
    <col min="17" max="17" width="13.33203125" customWidth="1"/>
    <col min="18" max="18" width="2.83203125" customWidth="1"/>
    <col min="19" max="19" width="10.83203125" hidden="1" customWidth="1"/>
    <col min="20" max="16384" width="10.83203125" hidden="1"/>
  </cols>
  <sheetData>
    <row r="1" spans="2:17" ht="16"/>
    <row r="2" spans="2:17" ht="16"/>
    <row r="3" spans="2:17" ht="21">
      <c r="D3" s="274" t="s">
        <v>33</v>
      </c>
      <c r="E3" s="274"/>
      <c r="F3" s="274"/>
      <c r="G3" s="274"/>
      <c r="H3" s="274"/>
      <c r="I3" s="274"/>
    </row>
    <row r="4" spans="2:17" ht="6" customHeight="1"/>
    <row r="5" spans="2:17" ht="16">
      <c r="B5" s="8" t="s">
        <v>3</v>
      </c>
      <c r="C5" s="6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37"/>
      <c r="K5" s="45" t="s">
        <v>30</v>
      </c>
      <c r="L5" s="46"/>
      <c r="M5" s="46"/>
      <c r="N5" s="46"/>
      <c r="O5" s="46"/>
      <c r="P5" s="46"/>
      <c r="Q5" s="46"/>
    </row>
    <row r="6" spans="2:17" ht="17" thickBo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7" thickBot="1">
      <c r="B7" s="11" t="s">
        <v>10</v>
      </c>
      <c r="C7" s="9"/>
      <c r="D7" s="9"/>
      <c r="E7" s="9"/>
      <c r="F7" s="9"/>
      <c r="G7" s="9"/>
      <c r="H7" s="9"/>
      <c r="I7" s="10"/>
      <c r="J7" s="6"/>
      <c r="K7" s="6"/>
      <c r="L7" s="6"/>
      <c r="M7" s="275" t="s">
        <v>34</v>
      </c>
      <c r="N7" s="276"/>
      <c r="O7" s="6"/>
      <c r="P7" s="275" t="s">
        <v>34</v>
      </c>
      <c r="Q7" s="277"/>
    </row>
    <row r="8" spans="2:17" ht="16">
      <c r="B8" s="12" t="s">
        <v>11</v>
      </c>
      <c r="C8" s="13"/>
      <c r="D8" s="34">
        <v>24117320.405000001</v>
      </c>
      <c r="E8" s="34">
        <v>24725892.528794996</v>
      </c>
      <c r="F8" s="34">
        <v>25309811.714152932</v>
      </c>
      <c r="G8" s="34">
        <v>25866682.5420205</v>
      </c>
      <c r="H8" s="34">
        <v>26394206.627506789</v>
      </c>
      <c r="I8" s="35">
        <v>26890200.876709402</v>
      </c>
      <c r="J8" s="38"/>
      <c r="K8" s="70">
        <f>(I8/D8)^(1/(6-1))-1</f>
        <v>2.2004948595369722E-2</v>
      </c>
      <c r="L8" s="71"/>
      <c r="M8" s="278" t="s">
        <v>35</v>
      </c>
      <c r="N8" s="279"/>
      <c r="O8" s="69"/>
      <c r="P8" s="278" t="s">
        <v>36</v>
      </c>
      <c r="Q8" s="279"/>
    </row>
    <row r="9" spans="2:17" ht="16">
      <c r="B9" s="27" t="s">
        <v>12</v>
      </c>
      <c r="C9" s="6"/>
      <c r="D9" s="30">
        <v>2.6855834285544271E-2</v>
      </c>
      <c r="E9" s="30">
        <v>2.5233820075169965E-2</v>
      </c>
      <c r="F9" s="30">
        <v>2.361569697344279E-2</v>
      </c>
      <c r="G9" s="30">
        <v>2.2002171891155251E-2</v>
      </c>
      <c r="H9" s="30">
        <v>2.0393959860501042E-2</v>
      </c>
      <c r="I9" s="31">
        <v>1.8791784735280169E-2</v>
      </c>
      <c r="J9" s="30"/>
      <c r="K9" s="71"/>
      <c r="L9" s="71"/>
      <c r="M9" s="14" t="s">
        <v>37</v>
      </c>
      <c r="N9" s="49">
        <v>690232.98300629924</v>
      </c>
      <c r="O9" s="6"/>
      <c r="P9" s="14" t="s">
        <v>38</v>
      </c>
      <c r="Q9" s="49">
        <v>2258776.8736435836</v>
      </c>
    </row>
    <row r="10" spans="2:17" ht="16">
      <c r="B10" s="24" t="s">
        <v>13</v>
      </c>
      <c r="C10" s="7"/>
      <c r="D10" s="25">
        <v>-15555671.661225</v>
      </c>
      <c r="E10" s="25">
        <v>-15886385.949750787</v>
      </c>
      <c r="F10" s="25">
        <v>-16198279.497057879</v>
      </c>
      <c r="G10" s="25">
        <v>-16490010.120538073</v>
      </c>
      <c r="H10" s="25">
        <v>-16760321.208466817</v>
      </c>
      <c r="I10" s="26">
        <v>-17008052.054518703</v>
      </c>
      <c r="J10" s="15"/>
      <c r="K10" s="71"/>
      <c r="L10" s="71"/>
      <c r="M10" s="14" t="s">
        <v>39</v>
      </c>
      <c r="N10" s="60">
        <v>0.03</v>
      </c>
      <c r="O10" s="6"/>
      <c r="P10" s="14" t="s">
        <v>40</v>
      </c>
      <c r="Q10" s="50">
        <v>11</v>
      </c>
    </row>
    <row r="11" spans="2:17" ht="16">
      <c r="B11" s="36" t="s">
        <v>14</v>
      </c>
      <c r="C11" s="37"/>
      <c r="D11" s="38">
        <v>8561648.7437750008</v>
      </c>
      <c r="E11" s="38">
        <v>8839506.5790442098</v>
      </c>
      <c r="F11" s="38">
        <v>9111532.2170950528</v>
      </c>
      <c r="G11" s="38">
        <v>9376672.421482427</v>
      </c>
      <c r="H11" s="38">
        <v>9633885.4190399721</v>
      </c>
      <c r="I11" s="39">
        <v>9882148.8221906982</v>
      </c>
      <c r="J11" s="38"/>
      <c r="K11" s="70">
        <f t="shared" ref="K11:K23" si="0">(I11/D11)^(1/(6-1))-1</f>
        <v>2.9102887468482885E-2</v>
      </c>
      <c r="L11" s="71"/>
      <c r="M11" s="14" t="s">
        <v>34</v>
      </c>
      <c r="N11" s="49">
        <v>14892800.455038419</v>
      </c>
      <c r="O11" s="6"/>
      <c r="P11" s="14" t="s">
        <v>34</v>
      </c>
      <c r="Q11" s="49">
        <v>24846545.610079419</v>
      </c>
    </row>
    <row r="12" spans="2:17" ht="16">
      <c r="B12" s="27" t="s">
        <v>15</v>
      </c>
      <c r="C12" s="6"/>
      <c r="D12" s="30">
        <v>0.35500000000000004</v>
      </c>
      <c r="E12" s="30">
        <v>0.35749999999999993</v>
      </c>
      <c r="F12" s="30">
        <v>0.35999999999999988</v>
      </c>
      <c r="G12" s="30">
        <v>0.36249999999999982</v>
      </c>
      <c r="H12" s="30">
        <v>0.36499999999999977</v>
      </c>
      <c r="I12" s="31">
        <v>0.36749999999999977</v>
      </c>
      <c r="J12" s="30"/>
      <c r="K12" s="71"/>
      <c r="L12" s="71"/>
      <c r="M12" s="51" t="s">
        <v>41</v>
      </c>
      <c r="N12" s="52">
        <v>10214598.821882829</v>
      </c>
      <c r="O12" s="6"/>
      <c r="P12" s="51" t="s">
        <v>41</v>
      </c>
      <c r="Q12" s="52">
        <v>17041623.318783697</v>
      </c>
    </row>
    <row r="13" spans="2:17" ht="16">
      <c r="B13" s="14" t="s">
        <v>16</v>
      </c>
      <c r="C13" s="6"/>
      <c r="D13" s="15">
        <v>-7114609.519475</v>
      </c>
      <c r="E13" s="15">
        <v>-7232323.5646725362</v>
      </c>
      <c r="F13" s="15">
        <v>-7339845.3971043499</v>
      </c>
      <c r="G13" s="15">
        <v>-7436671.2308308929</v>
      </c>
      <c r="H13" s="15">
        <v>-7522348.8888394339</v>
      </c>
      <c r="I13" s="16">
        <v>-7596481.7476704055</v>
      </c>
      <c r="J13" s="15"/>
      <c r="K13" s="71"/>
      <c r="L13" s="71"/>
      <c r="M13" s="14"/>
      <c r="N13" s="53"/>
      <c r="O13" s="6"/>
      <c r="P13" s="14"/>
      <c r="Q13" s="54"/>
    </row>
    <row r="14" spans="2:17" ht="16">
      <c r="B14" s="14" t="s">
        <v>55</v>
      </c>
      <c r="C14" s="6"/>
      <c r="D14" s="15">
        <v>-24117.320405000002</v>
      </c>
      <c r="E14" s="15">
        <v>-24725.892528794997</v>
      </c>
      <c r="F14" s="15">
        <v>-25309.811714152933</v>
      </c>
      <c r="G14" s="15">
        <v>-25866.682542020499</v>
      </c>
      <c r="H14" s="15">
        <v>-26394.206627506788</v>
      </c>
      <c r="I14" s="16">
        <v>-26890.200876709401</v>
      </c>
      <c r="J14" s="15"/>
      <c r="K14" s="71"/>
      <c r="L14" s="71"/>
      <c r="M14" s="55" t="s">
        <v>42</v>
      </c>
      <c r="N14" s="56">
        <v>3621671.0777566014</v>
      </c>
      <c r="O14" s="6"/>
      <c r="P14" s="55" t="s">
        <v>42</v>
      </c>
      <c r="Q14" s="49">
        <v>3621671.0777566014</v>
      </c>
    </row>
    <row r="15" spans="2:17" ht="16">
      <c r="B15" s="24" t="s">
        <v>18</v>
      </c>
      <c r="C15" s="7"/>
      <c r="D15" s="25">
        <v>-192938.56324000002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  <c r="J15" s="15"/>
      <c r="K15" s="71"/>
      <c r="L15" s="71"/>
      <c r="M15" s="14" t="s">
        <v>41</v>
      </c>
      <c r="N15" s="49">
        <v>10214598.821882829</v>
      </c>
      <c r="O15" s="6"/>
      <c r="P15" s="14" t="s">
        <v>41</v>
      </c>
      <c r="Q15" s="49">
        <v>17041623.318783697</v>
      </c>
    </row>
    <row r="16" spans="2:17" ht="16">
      <c r="B16" s="36" t="s">
        <v>31</v>
      </c>
      <c r="C16" s="6"/>
      <c r="D16" s="47">
        <f>D19-D18</f>
        <v>1229983.3406550009</v>
      </c>
      <c r="E16" s="47">
        <f t="shared" ref="E16:I16" si="1">E19-E18</f>
        <v>1582457.1218428786</v>
      </c>
      <c r="F16" s="47">
        <f t="shared" si="1"/>
        <v>1746377.0082765499</v>
      </c>
      <c r="G16" s="47">
        <f t="shared" si="1"/>
        <v>1914134.5081095137</v>
      </c>
      <c r="H16" s="47">
        <f t="shared" si="1"/>
        <v>2085142.3235730315</v>
      </c>
      <c r="I16" s="48">
        <f t="shared" si="1"/>
        <v>2258776.8736435836</v>
      </c>
      <c r="J16" s="15"/>
      <c r="K16" s="70">
        <f t="shared" si="0"/>
        <v>0.12926227672035351</v>
      </c>
      <c r="L16" s="71"/>
      <c r="M16" s="14" t="s">
        <v>43</v>
      </c>
      <c r="N16" s="49">
        <v>13836269.899639431</v>
      </c>
      <c r="O16" s="6"/>
      <c r="P16" s="14" t="s">
        <v>43</v>
      </c>
      <c r="Q16" s="49">
        <v>20663294.396540299</v>
      </c>
    </row>
    <row r="17" spans="2:17" ht="16">
      <c r="B17" s="27" t="s">
        <v>32</v>
      </c>
      <c r="C17" s="6"/>
      <c r="D17" s="30">
        <f t="shared" ref="D17:I17" si="2">D16/D8</f>
        <v>5.1000000000000031E-2</v>
      </c>
      <c r="E17" s="30">
        <f t="shared" si="2"/>
        <v>6.399999999999996E-2</v>
      </c>
      <c r="F17" s="30">
        <f t="shared" si="2"/>
        <v>6.8999999999999909E-2</v>
      </c>
      <c r="G17" s="30">
        <f t="shared" si="2"/>
        <v>7.3999999999999871E-2</v>
      </c>
      <c r="H17" s="30">
        <f t="shared" si="2"/>
        <v>7.899999999999982E-2</v>
      </c>
      <c r="I17" s="31">
        <f t="shared" si="2"/>
        <v>8.3999999999999769E-2</v>
      </c>
      <c r="J17" s="15"/>
      <c r="K17" s="71"/>
      <c r="L17" s="71"/>
      <c r="M17" s="14" t="s">
        <v>44</v>
      </c>
      <c r="N17" s="53">
        <v>6086.1</v>
      </c>
      <c r="O17" s="6"/>
      <c r="P17" s="14" t="s">
        <v>44</v>
      </c>
      <c r="Q17" s="53">
        <v>6086.1</v>
      </c>
    </row>
    <row r="18" spans="2:17" ht="16">
      <c r="B18" s="24" t="s">
        <v>17</v>
      </c>
      <c r="C18" s="7"/>
      <c r="D18" s="25">
        <v>-340054.2177105</v>
      </c>
      <c r="E18" s="25">
        <v>-435793.85582001181</v>
      </c>
      <c r="F18" s="25">
        <v>-535302.51775433449</v>
      </c>
      <c r="G18" s="25">
        <v>-638260.39172435587</v>
      </c>
      <c r="H18" s="25">
        <v>-744316.6268956915</v>
      </c>
      <c r="I18" s="26">
        <v>-853091.6228136057</v>
      </c>
      <c r="J18" s="15"/>
      <c r="K18" s="71"/>
      <c r="L18" s="71"/>
      <c r="M18" s="14" t="s">
        <v>45</v>
      </c>
      <c r="N18" s="49">
        <v>479991</v>
      </c>
      <c r="O18" s="6"/>
      <c r="P18" s="14" t="s">
        <v>45</v>
      </c>
      <c r="Q18" s="49">
        <v>479991</v>
      </c>
    </row>
    <row r="19" spans="2:17" ht="16">
      <c r="B19" s="36" t="s">
        <v>19</v>
      </c>
      <c r="C19" s="37"/>
      <c r="D19" s="38">
        <v>889929.12294450076</v>
      </c>
      <c r="E19" s="38">
        <v>1146663.2660228668</v>
      </c>
      <c r="F19" s="38">
        <v>1211074.4905222154</v>
      </c>
      <c r="G19" s="38">
        <v>1275874.1163851577</v>
      </c>
      <c r="H19" s="38">
        <v>1340825.69667734</v>
      </c>
      <c r="I19" s="39">
        <v>1405685.2508299777</v>
      </c>
      <c r="J19" s="38"/>
      <c r="K19" s="70">
        <f t="shared" si="0"/>
        <v>9.5737522082579352E-2</v>
      </c>
      <c r="L19" s="71"/>
      <c r="M19" s="14" t="s">
        <v>46</v>
      </c>
      <c r="N19" s="49">
        <v>14310174.799639432</v>
      </c>
      <c r="O19" s="6"/>
      <c r="P19" s="14" t="s">
        <v>46</v>
      </c>
      <c r="Q19" s="49">
        <v>21137199.296540298</v>
      </c>
    </row>
    <row r="20" spans="2:17" ht="17" thickBot="1">
      <c r="B20" s="27" t="s">
        <v>20</v>
      </c>
      <c r="C20" s="6"/>
      <c r="D20" s="30">
        <v>3.690000000000003E-2</v>
      </c>
      <c r="E20" s="30">
        <v>4.6374999999999951E-2</v>
      </c>
      <c r="F20" s="30">
        <v>4.7849999999999906E-2</v>
      </c>
      <c r="G20" s="30">
        <v>4.9324999999999869E-2</v>
      </c>
      <c r="H20" s="30">
        <v>5.0799999999999811E-2</v>
      </c>
      <c r="I20" s="31">
        <v>5.2274999999999766E-2</v>
      </c>
      <c r="J20" s="30"/>
      <c r="K20" s="71"/>
      <c r="L20" s="71"/>
      <c r="M20" s="14" t="s">
        <v>56</v>
      </c>
      <c r="N20" s="49">
        <v>139670</v>
      </c>
      <c r="O20" s="6"/>
      <c r="P20" s="14" t="s">
        <v>56</v>
      </c>
      <c r="Q20" s="49">
        <v>139670</v>
      </c>
    </row>
    <row r="21" spans="2:17" ht="17" thickBot="1">
      <c r="B21" s="14" t="s">
        <v>21</v>
      </c>
      <c r="C21" s="6"/>
      <c r="D21" s="15">
        <v>-186885.11581834525</v>
      </c>
      <c r="E21" s="15">
        <v>-240799.28586480196</v>
      </c>
      <c r="F21" s="15">
        <v>-254325.64300966536</v>
      </c>
      <c r="G21" s="15">
        <v>-267933.56444088323</v>
      </c>
      <c r="H21" s="15">
        <v>-281573.39630224142</v>
      </c>
      <c r="I21" s="16">
        <v>-295193.90267429536</v>
      </c>
      <c r="J21" s="15"/>
      <c r="K21" s="71"/>
      <c r="L21" s="71"/>
      <c r="M21" s="11" t="s">
        <v>48</v>
      </c>
      <c r="N21" s="61">
        <v>102.45704016352425</v>
      </c>
      <c r="O21" s="6"/>
      <c r="P21" s="62" t="s">
        <v>48</v>
      </c>
      <c r="Q21" s="63">
        <v>151.3367172373473</v>
      </c>
    </row>
    <row r="22" spans="2:17" ht="17" thickBot="1">
      <c r="B22" s="28" t="s">
        <v>22</v>
      </c>
      <c r="C22" s="7"/>
      <c r="D22" s="32">
        <v>0.2100000000000001</v>
      </c>
      <c r="E22" s="32">
        <v>0.20999999999999994</v>
      </c>
      <c r="F22" s="32">
        <v>0.2100000000000001</v>
      </c>
      <c r="G22" s="32">
        <v>0.2100000000000001</v>
      </c>
      <c r="H22" s="32">
        <v>0.21000000000000002</v>
      </c>
      <c r="I22" s="33">
        <v>0.21000000000000002</v>
      </c>
      <c r="J22" s="43"/>
      <c r="K22" s="71"/>
      <c r="L22" s="71"/>
      <c r="M22" s="6"/>
      <c r="N22" s="6"/>
      <c r="O22" s="6"/>
      <c r="P22" s="6"/>
      <c r="Q22" s="6"/>
    </row>
    <row r="23" spans="2:17" ht="17" thickBot="1">
      <c r="B23" s="36" t="s">
        <v>23</v>
      </c>
      <c r="C23" s="37"/>
      <c r="D23" s="38">
        <v>703044.00712615554</v>
      </c>
      <c r="E23" s="38">
        <v>905863.98015806486</v>
      </c>
      <c r="F23" s="38">
        <v>956748.84751254995</v>
      </c>
      <c r="G23" s="38">
        <v>1007940.5519442745</v>
      </c>
      <c r="H23" s="38">
        <v>1059252.3003750986</v>
      </c>
      <c r="I23" s="39">
        <v>1110491.3481556824</v>
      </c>
      <c r="J23" s="38"/>
      <c r="K23" s="70">
        <f t="shared" si="0"/>
        <v>9.5737522082579352E-2</v>
      </c>
      <c r="L23" s="71"/>
      <c r="M23" s="267" t="s">
        <v>49</v>
      </c>
      <c r="N23" s="268"/>
      <c r="O23" s="6"/>
      <c r="P23" s="11" t="s">
        <v>50</v>
      </c>
      <c r="Q23" s="64">
        <v>7.5999999999999998E-2</v>
      </c>
    </row>
    <row r="24" spans="2:17" ht="16">
      <c r="B24" s="14" t="s">
        <v>24</v>
      </c>
      <c r="C24" s="6"/>
      <c r="D24" s="15">
        <v>-482346.40810000006</v>
      </c>
      <c r="E24" s="15">
        <v>-618147.31321987498</v>
      </c>
      <c r="F24" s="15">
        <v>-759294.35142458801</v>
      </c>
      <c r="G24" s="15">
        <v>-905333.88897071755</v>
      </c>
      <c r="H24" s="15">
        <v>-1055768.2651002717</v>
      </c>
      <c r="I24" s="16">
        <v>-1210059.039451923</v>
      </c>
      <c r="J24" s="17"/>
      <c r="K24" s="71"/>
      <c r="L24" s="71"/>
      <c r="M24" s="14" t="s">
        <v>57</v>
      </c>
      <c r="N24" s="57">
        <f>N21</f>
        <v>102.45704016352425</v>
      </c>
      <c r="O24" s="6"/>
      <c r="P24" s="58"/>
      <c r="Q24" s="58"/>
    </row>
    <row r="25" spans="2:17" ht="16">
      <c r="B25" s="24" t="s">
        <v>25</v>
      </c>
      <c r="C25" s="7"/>
      <c r="D25" s="25">
        <v>371670.95066125225</v>
      </c>
      <c r="E25" s="25">
        <v>-63922.827376813628</v>
      </c>
      <c r="F25" s="25">
        <v>-64139.203552009538</v>
      </c>
      <c r="G25" s="25">
        <v>-64110.077790392563</v>
      </c>
      <c r="H25" s="25">
        <v>-63828.881386972964</v>
      </c>
      <c r="I25" s="26">
        <v>-63290.948511065915</v>
      </c>
      <c r="J25" s="15"/>
      <c r="K25" s="71"/>
      <c r="L25" s="71"/>
      <c r="M25" s="29" t="s">
        <v>51</v>
      </c>
      <c r="N25" s="59">
        <v>0.5</v>
      </c>
      <c r="O25" s="6"/>
      <c r="P25" s="6"/>
      <c r="Q25" s="6"/>
    </row>
    <row r="26" spans="2:17" ht="16">
      <c r="B26" s="36" t="s">
        <v>26</v>
      </c>
      <c r="C26" s="37"/>
      <c r="D26" s="38">
        <v>932422.7673979078</v>
      </c>
      <c r="E26" s="38">
        <v>659587.69538138818</v>
      </c>
      <c r="F26" s="38">
        <v>668617.8102902869</v>
      </c>
      <c r="G26" s="38">
        <v>676756.97690752032</v>
      </c>
      <c r="H26" s="38">
        <v>683971.78078354546</v>
      </c>
      <c r="I26" s="39">
        <v>690232.98300629924</v>
      </c>
      <c r="J26" s="15"/>
      <c r="K26" s="71"/>
      <c r="L26" s="71"/>
      <c r="M26" s="14" t="s">
        <v>36</v>
      </c>
      <c r="N26" s="57">
        <f>Q21</f>
        <v>151.3367172373473</v>
      </c>
      <c r="O26" s="6"/>
      <c r="P26" s="6"/>
      <c r="Q26" s="6"/>
    </row>
    <row r="27" spans="2:17" ht="17" thickBot="1">
      <c r="B27" s="14" t="s">
        <v>27</v>
      </c>
      <c r="C27" s="6"/>
      <c r="D27" s="18">
        <v>0.125</v>
      </c>
      <c r="E27" s="18">
        <v>1.125</v>
      </c>
      <c r="F27" s="18">
        <v>2.125</v>
      </c>
      <c r="G27" s="18">
        <v>3.125</v>
      </c>
      <c r="H27" s="18">
        <v>4.125</v>
      </c>
      <c r="I27" s="19">
        <v>5.125</v>
      </c>
      <c r="J27" s="38"/>
      <c r="K27" s="70">
        <f>(I26/D26)^(1/(6-1))-1</f>
        <v>-5.8378062839698264E-2</v>
      </c>
      <c r="L27" s="71"/>
      <c r="M27" s="29" t="s">
        <v>51</v>
      </c>
      <c r="N27" s="59">
        <v>0.5</v>
      </c>
      <c r="O27" s="6"/>
      <c r="P27" s="6"/>
      <c r="Q27" s="6"/>
    </row>
    <row r="28" spans="2:17" ht="17" thickBot="1">
      <c r="B28" s="20" t="s">
        <v>28</v>
      </c>
      <c r="C28" s="21"/>
      <c r="D28" s="22">
        <v>0.99088548361934714</v>
      </c>
      <c r="E28" s="22">
        <v>0.92089728960905859</v>
      </c>
      <c r="F28" s="22">
        <v>0.85585249963667143</v>
      </c>
      <c r="G28" s="22">
        <v>0.79540195133519653</v>
      </c>
      <c r="H28" s="22">
        <v>0.73922114436356545</v>
      </c>
      <c r="I28" s="23">
        <v>0.68700849847915002</v>
      </c>
      <c r="J28" s="18"/>
      <c r="K28" s="18"/>
      <c r="L28" s="18"/>
      <c r="M28" s="65" t="s">
        <v>49</v>
      </c>
      <c r="N28" s="66">
        <f>N24*N25+N26*N27</f>
        <v>126.89687870043578</v>
      </c>
      <c r="O28" s="6"/>
      <c r="P28" s="6"/>
      <c r="Q28" s="6"/>
    </row>
    <row r="29" spans="2:17" ht="17" thickBot="1">
      <c r="B29" s="11" t="s">
        <v>29</v>
      </c>
      <c r="C29" s="40"/>
      <c r="D29" s="41">
        <f>D26*D28</f>
        <v>923924.1848107659</v>
      </c>
      <c r="E29" s="41">
        <f t="shared" ref="E29:I29" si="3">E26*E28</f>
        <v>607412.52093620575</v>
      </c>
      <c r="F29" s="41">
        <f t="shared" si="3"/>
        <v>572238.22423853981</v>
      </c>
      <c r="G29" s="41">
        <f t="shared" si="3"/>
        <v>538293.82001195021</v>
      </c>
      <c r="H29" s="41">
        <f t="shared" si="3"/>
        <v>505606.40250319819</v>
      </c>
      <c r="I29" s="42">
        <f t="shared" si="3"/>
        <v>474195.92525594233</v>
      </c>
      <c r="J29" s="18"/>
      <c r="K29" s="18"/>
      <c r="L29" s="18"/>
      <c r="M29" s="67" t="s">
        <v>52</v>
      </c>
      <c r="N29" s="68">
        <v>-8.1588776865920323E-2</v>
      </c>
      <c r="O29" s="6"/>
      <c r="P29" s="6"/>
      <c r="Q29" s="6"/>
    </row>
    <row r="30" spans="2:17" ht="16">
      <c r="J30" s="44"/>
      <c r="K30" s="44"/>
      <c r="L30" s="44"/>
      <c r="M30" s="44"/>
      <c r="N30" s="44"/>
      <c r="O30" s="44"/>
      <c r="P30" s="44"/>
      <c r="Q30" s="44"/>
    </row>
    <row r="31" spans="2:17" ht="16"/>
    <row r="32" spans="2:17" ht="16"/>
    <row r="33" spans="4:4" ht="16"/>
    <row r="34" spans="4:4" ht="16"/>
    <row r="35" spans="4:4" ht="16"/>
    <row r="36" spans="4:4" ht="16"/>
    <row r="37" spans="4:4" ht="16" hidden="1"/>
    <row r="38" spans="4:4" ht="16" hidden="1"/>
    <row r="39" spans="4:4" ht="16" hidden="1"/>
    <row r="40" spans="4:4" ht="16" hidden="1">
      <c r="D40" s="5"/>
    </row>
    <row r="41" spans="4:4" ht="16" hidden="1"/>
    <row r="42" spans="4:4" ht="16" hidden="1"/>
    <row r="43" spans="4:4" ht="16" hidden="1"/>
    <row r="44" spans="4:4" ht="16" hidden="1"/>
    <row r="45" spans="4:4" ht="16" hidden="1"/>
    <row r="46" spans="4:4" ht="16" hidden="1"/>
    <row r="47" spans="4:4" ht="16"/>
  </sheetData>
  <mergeCells count="6">
    <mergeCell ref="M23:N23"/>
    <mergeCell ref="D3:I3"/>
    <mergeCell ref="M7:N7"/>
    <mergeCell ref="P7:Q7"/>
    <mergeCell ref="M8:N8"/>
    <mergeCell ref="P8:Q8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E14-B2F0-8E44-8196-F5F22B7B6001}">
  <dimension ref="A1:R47"/>
  <sheetViews>
    <sheetView showGridLines="0" topLeftCell="I1" workbookViewId="0">
      <selection activeCell="P8" activeCellId="1" sqref="M8:N8 P8"/>
    </sheetView>
  </sheetViews>
  <sheetFormatPr baseColWidth="10" defaultColWidth="0" defaultRowHeight="0" customHeight="1" zeroHeight="1"/>
  <cols>
    <col min="1" max="1" width="2.83203125" customWidth="1"/>
    <col min="2" max="2" width="27" customWidth="1"/>
    <col min="3" max="3" width="1.83203125" customWidth="1"/>
    <col min="4" max="9" width="13.33203125" customWidth="1"/>
    <col min="10" max="10" width="2.83203125" customWidth="1"/>
    <col min="11" max="11" width="13.33203125" customWidth="1"/>
    <col min="12" max="12" width="4.33203125" customWidth="1"/>
    <col min="13" max="13" width="25.83203125" customWidth="1"/>
    <col min="14" max="14" width="13.33203125" customWidth="1"/>
    <col min="15" max="15" width="4.33203125" customWidth="1"/>
    <col min="16" max="16" width="25.83203125" customWidth="1"/>
    <col min="17" max="17" width="13.33203125" customWidth="1"/>
    <col min="18" max="18" width="2.83203125" customWidth="1"/>
    <col min="19" max="19" width="10.83203125" hidden="1" customWidth="1"/>
    <col min="20" max="16384" width="10.83203125" hidden="1"/>
  </cols>
  <sheetData>
    <row r="1" spans="2:17" ht="16"/>
    <row r="2" spans="2:17" ht="16"/>
    <row r="3" spans="2:17" ht="21">
      <c r="D3" s="274" t="s">
        <v>33</v>
      </c>
      <c r="E3" s="274"/>
      <c r="F3" s="274"/>
      <c r="G3" s="274"/>
      <c r="H3" s="274"/>
      <c r="I3" s="274"/>
    </row>
    <row r="4" spans="2:17" ht="6" customHeight="1"/>
    <row r="5" spans="2:17" ht="16">
      <c r="B5" s="8" t="s">
        <v>3</v>
      </c>
      <c r="C5" s="6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37"/>
      <c r="K5" s="45" t="s">
        <v>30</v>
      </c>
      <c r="L5" s="46"/>
      <c r="M5" s="46"/>
      <c r="N5" s="46"/>
      <c r="O5" s="46"/>
      <c r="P5" s="46"/>
      <c r="Q5" s="46"/>
    </row>
    <row r="6" spans="2:17" ht="17" thickBo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7" thickBot="1">
      <c r="B7" s="11" t="s">
        <v>10</v>
      </c>
      <c r="C7" s="9"/>
      <c r="D7" s="9"/>
      <c r="E7" s="9"/>
      <c r="F7" s="9"/>
      <c r="G7" s="9"/>
      <c r="H7" s="9"/>
      <c r="I7" s="10"/>
      <c r="J7" s="6"/>
      <c r="K7" s="6"/>
      <c r="L7" s="6"/>
      <c r="M7" s="275" t="s">
        <v>34</v>
      </c>
      <c r="N7" s="276"/>
      <c r="O7" s="6"/>
      <c r="P7" s="275" t="s">
        <v>34</v>
      </c>
      <c r="Q7" s="277"/>
    </row>
    <row r="8" spans="2:17" ht="16">
      <c r="B8" s="12" t="s">
        <v>11</v>
      </c>
      <c r="C8" s="13"/>
      <c r="D8" s="34">
        <v>24543464.604999997</v>
      </c>
      <c r="E8" s="34">
        <v>25687897.720814995</v>
      </c>
      <c r="F8" s="34">
        <v>26927547.173597887</v>
      </c>
      <c r="G8" s="34">
        <v>28270922.21989046</v>
      </c>
      <c r="H8" s="34">
        <v>29727459.107118189</v>
      </c>
      <c r="I8" s="35">
        <v>31307630.273062993</v>
      </c>
      <c r="J8" s="38"/>
      <c r="K8" s="70">
        <f>(I8/D8)^(1/(6-1))-1</f>
        <v>4.9887743028665055E-2</v>
      </c>
      <c r="L8" s="71"/>
      <c r="M8" s="278" t="s">
        <v>35</v>
      </c>
      <c r="N8" s="279"/>
      <c r="O8" s="69"/>
      <c r="P8" s="278" t="s">
        <v>36</v>
      </c>
      <c r="Q8" s="279"/>
    </row>
    <row r="9" spans="2:17" ht="16">
      <c r="B9" s="27" t="s">
        <v>12</v>
      </c>
      <c r="C9" s="6"/>
      <c r="D9" s="30">
        <v>4.499999999999986E-2</v>
      </c>
      <c r="E9" s="30">
        <v>4.662883314289111E-2</v>
      </c>
      <c r="F9" s="30">
        <v>4.8258112293027365E-2</v>
      </c>
      <c r="G9" s="30">
        <v>4.9888504052449871E-2</v>
      </c>
      <c r="H9" s="30">
        <v>5.1520671165193155E-2</v>
      </c>
      <c r="I9" s="31">
        <v>5.3155271705224015E-2</v>
      </c>
      <c r="J9" s="30"/>
      <c r="K9" s="71"/>
      <c r="L9" s="71"/>
      <c r="M9" s="14" t="s">
        <v>37</v>
      </c>
      <c r="N9" s="49">
        <v>1345387.8117392224</v>
      </c>
      <c r="O9" s="6"/>
      <c r="P9" s="14" t="s">
        <v>38</v>
      </c>
      <c r="Q9" s="49">
        <v>3725608.0024944898</v>
      </c>
    </row>
    <row r="10" spans="2:17" ht="16">
      <c r="B10" s="24" t="s">
        <v>13</v>
      </c>
      <c r="C10" s="7"/>
      <c r="D10" s="25">
        <v>-15339665.378124997</v>
      </c>
      <c r="E10" s="25">
        <v>-15990716.331207337</v>
      </c>
      <c r="F10" s="25">
        <v>-16695079.247630693</v>
      </c>
      <c r="G10" s="25">
        <v>-17457294.470782366</v>
      </c>
      <c r="H10" s="25">
        <v>-18282387.350877691</v>
      </c>
      <c r="I10" s="26">
        <v>-19175923.542251091</v>
      </c>
      <c r="J10" s="15"/>
      <c r="K10" s="71"/>
      <c r="L10" s="71"/>
      <c r="M10" s="14" t="s">
        <v>39</v>
      </c>
      <c r="N10" s="60">
        <v>0.03</v>
      </c>
      <c r="O10" s="6"/>
      <c r="P10" s="14" t="s">
        <v>40</v>
      </c>
      <c r="Q10" s="50">
        <v>11</v>
      </c>
    </row>
    <row r="11" spans="2:17" ht="16">
      <c r="B11" s="36" t="s">
        <v>14</v>
      </c>
      <c r="C11" s="37"/>
      <c r="D11" s="38">
        <v>9203799.2268749997</v>
      </c>
      <c r="E11" s="38">
        <v>9697181.3896076586</v>
      </c>
      <c r="F11" s="38">
        <v>10232467.925967194</v>
      </c>
      <c r="G11" s="38">
        <v>10813627.749108095</v>
      </c>
      <c r="H11" s="38">
        <v>11445071.756240498</v>
      </c>
      <c r="I11" s="39">
        <v>12131706.730811901</v>
      </c>
      <c r="J11" s="38"/>
      <c r="K11" s="70">
        <f t="shared" ref="K11:K23" si="0">(I11/D11)^(1/(6-1))-1</f>
        <v>5.6795495284778452E-2</v>
      </c>
      <c r="L11" s="71"/>
      <c r="M11" s="14" t="s">
        <v>34</v>
      </c>
      <c r="N11" s="49">
        <v>29028737.698978048</v>
      </c>
      <c r="O11" s="6"/>
      <c r="P11" s="14" t="s">
        <v>34</v>
      </c>
      <c r="Q11" s="49">
        <v>40981688.027439386</v>
      </c>
    </row>
    <row r="12" spans="2:17" ht="16">
      <c r="B12" s="27" t="s">
        <v>15</v>
      </c>
      <c r="C12" s="6"/>
      <c r="D12" s="30">
        <v>0.37500000000000006</v>
      </c>
      <c r="E12" s="30">
        <v>0.37749999999999989</v>
      </c>
      <c r="F12" s="30">
        <v>0.37999999999999989</v>
      </c>
      <c r="G12" s="30">
        <v>0.38249999999999978</v>
      </c>
      <c r="H12" s="30">
        <v>0.38499999999999984</v>
      </c>
      <c r="I12" s="31">
        <v>0.38749999999999973</v>
      </c>
      <c r="J12" s="30"/>
      <c r="K12" s="71"/>
      <c r="L12" s="71"/>
      <c r="M12" s="51" t="s">
        <v>41</v>
      </c>
      <c r="N12" s="52">
        <v>19910084.1239306</v>
      </c>
      <c r="O12" s="6"/>
      <c r="P12" s="51" t="s">
        <v>41</v>
      </c>
      <c r="Q12" s="52">
        <v>28108313.376496661</v>
      </c>
    </row>
    <row r="13" spans="2:17" ht="16">
      <c r="B13" s="14" t="s">
        <v>16</v>
      </c>
      <c r="C13" s="6"/>
      <c r="D13" s="15">
        <v>-6872170.0893999981</v>
      </c>
      <c r="E13" s="15">
        <v>-7128391.6175261606</v>
      </c>
      <c r="F13" s="15">
        <v>-7405075.472739418</v>
      </c>
      <c r="G13" s="15">
        <v>-7703826.304920149</v>
      </c>
      <c r="H13" s="15">
        <v>-8026413.9589219103</v>
      </c>
      <c r="I13" s="16">
        <v>-8374791.0980443489</v>
      </c>
      <c r="J13" s="15"/>
      <c r="K13" s="71"/>
      <c r="L13" s="71"/>
      <c r="M13" s="14"/>
      <c r="N13" s="53"/>
      <c r="O13" s="6"/>
      <c r="P13" s="14"/>
      <c r="Q13" s="54"/>
    </row>
    <row r="14" spans="2:17" ht="16">
      <c r="B14" s="14" t="s">
        <v>55</v>
      </c>
      <c r="C14" s="6"/>
      <c r="D14" s="15">
        <v>-24543.464604999997</v>
      </c>
      <c r="E14" s="15">
        <v>-25687.897720814995</v>
      </c>
      <c r="F14" s="15">
        <v>-26927.547173597886</v>
      </c>
      <c r="G14" s="15">
        <v>-28270.922219890461</v>
      </c>
      <c r="H14" s="15">
        <v>-29727.459107118189</v>
      </c>
      <c r="I14" s="16">
        <v>-31307.630273062994</v>
      </c>
      <c r="J14" s="15"/>
      <c r="K14" s="71"/>
      <c r="L14" s="71"/>
      <c r="M14" s="55" t="s">
        <v>42</v>
      </c>
      <c r="N14" s="56">
        <v>6337677.9693982741</v>
      </c>
      <c r="O14" s="6"/>
      <c r="P14" s="55" t="s">
        <v>42</v>
      </c>
      <c r="Q14" s="49">
        <v>6337677.9693982741</v>
      </c>
    </row>
    <row r="15" spans="2:17" ht="16">
      <c r="B15" s="24" t="s">
        <v>18</v>
      </c>
      <c r="C15" s="7"/>
      <c r="D15" s="25">
        <v>-147260.78762999998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  <c r="J15" s="15"/>
      <c r="K15" s="71"/>
      <c r="L15" s="71"/>
      <c r="M15" s="14" t="s">
        <v>41</v>
      </c>
      <c r="N15" s="49">
        <v>19910084.1239306</v>
      </c>
      <c r="O15" s="6"/>
      <c r="P15" s="14" t="s">
        <v>41</v>
      </c>
      <c r="Q15" s="49">
        <v>28108313.376496661</v>
      </c>
    </row>
    <row r="16" spans="2:17" ht="16">
      <c r="B16" s="36" t="s">
        <v>31</v>
      </c>
      <c r="C16" s="6"/>
      <c r="D16" s="47">
        <f>D19-D18</f>
        <v>2159824.8852400016</v>
      </c>
      <c r="E16" s="47">
        <f t="shared" ref="E16:I16" si="1">E19-E18</f>
        <v>2543101.8743606834</v>
      </c>
      <c r="F16" s="47">
        <f t="shared" si="1"/>
        <v>2800464.9060541783</v>
      </c>
      <c r="G16" s="47">
        <f t="shared" si="1"/>
        <v>3081530.5219680551</v>
      </c>
      <c r="H16" s="47">
        <f t="shared" si="1"/>
        <v>3388930.3382114698</v>
      </c>
      <c r="I16" s="48">
        <f t="shared" si="1"/>
        <v>3725608.0024944898</v>
      </c>
      <c r="J16" s="15"/>
      <c r="K16" s="70">
        <f t="shared" si="0"/>
        <v>0.11520760764742688</v>
      </c>
      <c r="L16" s="71"/>
      <c r="M16" s="14" t="s">
        <v>43</v>
      </c>
      <c r="N16" s="49">
        <v>26247762.093328875</v>
      </c>
      <c r="O16" s="6"/>
      <c r="P16" s="14" t="s">
        <v>43</v>
      </c>
      <c r="Q16" s="49">
        <v>34445991.345894933</v>
      </c>
    </row>
    <row r="17" spans="2:17" ht="16">
      <c r="B17" s="27" t="s">
        <v>32</v>
      </c>
      <c r="C17" s="6"/>
      <c r="D17" s="30">
        <f t="shared" ref="D17:I17" si="2">D16/D8</f>
        <v>8.8000000000000078E-2</v>
      </c>
      <c r="E17" s="30">
        <f t="shared" si="2"/>
        <v>9.8999999999999949E-2</v>
      </c>
      <c r="F17" s="30">
        <f t="shared" si="2"/>
        <v>0.10399999999999993</v>
      </c>
      <c r="G17" s="30">
        <f t="shared" si="2"/>
        <v>0.10899999999999982</v>
      </c>
      <c r="H17" s="30">
        <f t="shared" si="2"/>
        <v>0.11399999999999988</v>
      </c>
      <c r="I17" s="31">
        <f t="shared" si="2"/>
        <v>0.1189999999999998</v>
      </c>
      <c r="J17" s="15"/>
      <c r="K17" s="71"/>
      <c r="L17" s="71"/>
      <c r="M17" s="14" t="s">
        <v>44</v>
      </c>
      <c r="N17" s="53">
        <v>6086.1</v>
      </c>
      <c r="O17" s="6"/>
      <c r="P17" s="14" t="s">
        <v>44</v>
      </c>
      <c r="Q17" s="53">
        <v>6086.1</v>
      </c>
    </row>
    <row r="18" spans="2:17" ht="16">
      <c r="B18" s="24" t="s">
        <v>17</v>
      </c>
      <c r="C18" s="7"/>
      <c r="D18" s="25">
        <v>-511731.23701424984</v>
      </c>
      <c r="E18" s="25">
        <v>-624858.11205882463</v>
      </c>
      <c r="F18" s="25">
        <v>-748585.81142602116</v>
      </c>
      <c r="G18" s="25">
        <v>-884173.09242707386</v>
      </c>
      <c r="H18" s="25">
        <v>-1033029.2039723569</v>
      </c>
      <c r="I18" s="26">
        <v>-1196734.1671878325</v>
      </c>
      <c r="J18" s="15"/>
      <c r="K18" s="71"/>
      <c r="L18" s="71"/>
      <c r="M18" s="14" t="s">
        <v>45</v>
      </c>
      <c r="N18" s="49">
        <v>479991</v>
      </c>
      <c r="O18" s="6"/>
      <c r="P18" s="14" t="s">
        <v>45</v>
      </c>
      <c r="Q18" s="49">
        <v>479991</v>
      </c>
    </row>
    <row r="19" spans="2:17" ht="16">
      <c r="B19" s="36" t="s">
        <v>19</v>
      </c>
      <c r="C19" s="37"/>
      <c r="D19" s="38">
        <v>1648093.6482257517</v>
      </c>
      <c r="E19" s="38">
        <v>1918243.7623018585</v>
      </c>
      <c r="F19" s="38">
        <v>2051879.0946281571</v>
      </c>
      <c r="G19" s="38">
        <v>2197357.4295409811</v>
      </c>
      <c r="H19" s="38">
        <v>2355901.134239113</v>
      </c>
      <c r="I19" s="39">
        <v>2528873.835306657</v>
      </c>
      <c r="J19" s="38"/>
      <c r="K19" s="70">
        <f t="shared" si="0"/>
        <v>8.940422560946959E-2</v>
      </c>
      <c r="L19" s="71"/>
      <c r="M19" s="14" t="s">
        <v>46</v>
      </c>
      <c r="N19" s="49">
        <v>26721666.993328873</v>
      </c>
      <c r="O19" s="6"/>
      <c r="P19" s="14" t="s">
        <v>46</v>
      </c>
      <c r="Q19" s="49">
        <v>34919896.245894931</v>
      </c>
    </row>
    <row r="20" spans="2:17" ht="17" thickBot="1">
      <c r="B20" s="27" t="s">
        <v>20</v>
      </c>
      <c r="C20" s="6"/>
      <c r="D20" s="30">
        <v>6.7150000000000085E-2</v>
      </c>
      <c r="E20" s="30">
        <v>7.467499999999995E-2</v>
      </c>
      <c r="F20" s="30">
        <v>7.6199999999999934E-2</v>
      </c>
      <c r="G20" s="30">
        <v>7.7724999999999822E-2</v>
      </c>
      <c r="H20" s="30">
        <v>7.9249999999999876E-2</v>
      </c>
      <c r="I20" s="31">
        <v>8.0774999999999805E-2</v>
      </c>
      <c r="J20" s="30"/>
      <c r="K20" s="71"/>
      <c r="L20" s="71"/>
      <c r="M20" s="14" t="s">
        <v>56</v>
      </c>
      <c r="N20" s="49">
        <v>139670</v>
      </c>
      <c r="O20" s="6"/>
      <c r="P20" s="14" t="s">
        <v>56</v>
      </c>
      <c r="Q20" s="49">
        <v>139670</v>
      </c>
    </row>
    <row r="21" spans="2:17" ht="17" thickBot="1">
      <c r="B21" s="14" t="s">
        <v>21</v>
      </c>
      <c r="C21" s="6"/>
      <c r="D21" s="15">
        <v>-346099.66612740787</v>
      </c>
      <c r="E21" s="15">
        <v>-402831.19008339028</v>
      </c>
      <c r="F21" s="15">
        <v>-430894.60987191298</v>
      </c>
      <c r="G21" s="15">
        <v>-461445.06020360591</v>
      </c>
      <c r="H21" s="15">
        <v>-494739.23819021368</v>
      </c>
      <c r="I21" s="16">
        <v>-531063.50541439804</v>
      </c>
      <c r="J21" s="15"/>
      <c r="K21" s="71"/>
      <c r="L21" s="71"/>
      <c r="M21" s="11" t="s">
        <v>48</v>
      </c>
      <c r="N21" s="61">
        <v>191.32001856754403</v>
      </c>
      <c r="O21" s="6"/>
      <c r="P21" s="62" t="s">
        <v>48</v>
      </c>
      <c r="Q21" s="63">
        <v>250.01715648238655</v>
      </c>
    </row>
    <row r="22" spans="2:17" ht="17" thickBot="1">
      <c r="B22" s="28" t="s">
        <v>22</v>
      </c>
      <c r="C22" s="7"/>
      <c r="D22" s="32">
        <v>0.21</v>
      </c>
      <c r="E22" s="32">
        <v>0.21</v>
      </c>
      <c r="F22" s="32">
        <v>0.21</v>
      </c>
      <c r="G22" s="32">
        <v>0.20999999999999994</v>
      </c>
      <c r="H22" s="32">
        <v>0.21</v>
      </c>
      <c r="I22" s="33">
        <v>0.21000000000000002</v>
      </c>
      <c r="J22" s="43"/>
      <c r="K22" s="71"/>
      <c r="L22" s="71"/>
      <c r="M22" s="6"/>
      <c r="N22" s="6"/>
      <c r="O22" s="6"/>
      <c r="P22" s="6"/>
      <c r="Q22" s="6"/>
    </row>
    <row r="23" spans="2:17" ht="17" thickBot="1">
      <c r="B23" s="36" t="s">
        <v>23</v>
      </c>
      <c r="C23" s="37"/>
      <c r="D23" s="38">
        <v>1301993.9820983438</v>
      </c>
      <c r="E23" s="38">
        <v>1515412.5722184682</v>
      </c>
      <c r="F23" s="38">
        <v>1620984.4847562441</v>
      </c>
      <c r="G23" s="38">
        <v>1735912.3693373753</v>
      </c>
      <c r="H23" s="38">
        <v>1861161.8960488993</v>
      </c>
      <c r="I23" s="39">
        <v>1997810.3298922591</v>
      </c>
      <c r="J23" s="38"/>
      <c r="K23" s="70">
        <f t="shared" si="0"/>
        <v>8.940422560946959E-2</v>
      </c>
      <c r="L23" s="71"/>
      <c r="M23" s="267" t="s">
        <v>49</v>
      </c>
      <c r="N23" s="268"/>
      <c r="O23" s="6"/>
      <c r="P23" s="11" t="s">
        <v>50</v>
      </c>
      <c r="Q23" s="64">
        <v>7.5999999999999998E-2</v>
      </c>
    </row>
    <row r="24" spans="2:17" ht="16">
      <c r="B24" s="14" t="s">
        <v>24</v>
      </c>
      <c r="C24" s="6"/>
      <c r="D24" s="15">
        <v>-736303.93814999983</v>
      </c>
      <c r="E24" s="15">
        <v>-899076.42022852472</v>
      </c>
      <c r="F24" s="15">
        <v>-1077101.8869439154</v>
      </c>
      <c r="G24" s="15">
        <v>-1272191.4998950704</v>
      </c>
      <c r="H24" s="15">
        <v>-1486372.9553559092</v>
      </c>
      <c r="I24" s="16">
        <v>-1721919.6650184642</v>
      </c>
      <c r="J24" s="17"/>
      <c r="K24" s="71"/>
      <c r="L24" s="71"/>
      <c r="M24" s="14" t="s">
        <v>57</v>
      </c>
      <c r="N24" s="57">
        <f>N21</f>
        <v>191.32001856754403</v>
      </c>
      <c r="O24" s="6"/>
      <c r="P24" s="58"/>
      <c r="Q24" s="58"/>
    </row>
    <row r="25" spans="2:17" ht="16">
      <c r="B25" s="24" t="s">
        <v>25</v>
      </c>
      <c r="C25" s="7"/>
      <c r="D25" s="25">
        <v>326779.10050625075</v>
      </c>
      <c r="E25" s="25">
        <v>-90983.534273498692</v>
      </c>
      <c r="F25" s="25">
        <v>-98752.694729570299</v>
      </c>
      <c r="G25" s="25">
        <v>-107322.69237999432</v>
      </c>
      <c r="H25" s="25">
        <v>-116783.63895577751</v>
      </c>
      <c r="I25" s="26">
        <v>-127237.0203224048</v>
      </c>
      <c r="J25" s="15"/>
      <c r="K25" s="71"/>
      <c r="L25" s="71"/>
      <c r="M25" s="29" t="s">
        <v>51</v>
      </c>
      <c r="N25" s="59">
        <v>0.5</v>
      </c>
      <c r="O25" s="6"/>
      <c r="P25" s="6"/>
      <c r="Q25" s="6"/>
    </row>
    <row r="26" spans="2:17" ht="16">
      <c r="B26" s="36" t="s">
        <v>26</v>
      </c>
      <c r="C26" s="37"/>
      <c r="D26" s="38">
        <v>1404200.3814688446</v>
      </c>
      <c r="E26" s="38">
        <v>1150210.7297752695</v>
      </c>
      <c r="F26" s="38">
        <v>1193715.7145087798</v>
      </c>
      <c r="G26" s="38">
        <v>1240571.2694893845</v>
      </c>
      <c r="H26" s="38">
        <v>1291034.5057095694</v>
      </c>
      <c r="I26" s="39">
        <v>1345387.8117392224</v>
      </c>
      <c r="J26" s="15"/>
      <c r="K26" s="71"/>
      <c r="L26" s="71"/>
      <c r="M26" s="14" t="s">
        <v>36</v>
      </c>
      <c r="N26" s="57">
        <f>Q21</f>
        <v>250.01715648238655</v>
      </c>
      <c r="O26" s="6"/>
      <c r="P26" s="6"/>
      <c r="Q26" s="6"/>
    </row>
    <row r="27" spans="2:17" ht="17" thickBot="1">
      <c r="B27" s="14" t="s">
        <v>27</v>
      </c>
      <c r="C27" s="6"/>
      <c r="D27" s="18">
        <v>0.125</v>
      </c>
      <c r="E27" s="18">
        <v>1.125</v>
      </c>
      <c r="F27" s="18">
        <v>2.125</v>
      </c>
      <c r="G27" s="18">
        <v>3.125</v>
      </c>
      <c r="H27" s="18">
        <v>4.125</v>
      </c>
      <c r="I27" s="19">
        <v>5.125</v>
      </c>
      <c r="J27" s="38"/>
      <c r="K27" s="70">
        <f>(I26/D26)^(1/(6-1))-1</f>
        <v>-8.5206338508853063E-3</v>
      </c>
      <c r="L27" s="71"/>
      <c r="M27" s="29" t="s">
        <v>51</v>
      </c>
      <c r="N27" s="59">
        <v>0.5</v>
      </c>
      <c r="O27" s="6"/>
      <c r="P27" s="6"/>
      <c r="Q27" s="6"/>
    </row>
    <row r="28" spans="2:17" ht="17" thickBot="1">
      <c r="B28" s="20" t="s">
        <v>28</v>
      </c>
      <c r="C28" s="21"/>
      <c r="D28" s="22">
        <v>0.99088548361934714</v>
      </c>
      <c r="E28" s="22">
        <v>0.92089728960905859</v>
      </c>
      <c r="F28" s="22">
        <v>0.85585249963667143</v>
      </c>
      <c r="G28" s="22">
        <v>0.79540195133519653</v>
      </c>
      <c r="H28" s="22">
        <v>0.73922114436356545</v>
      </c>
      <c r="I28" s="23">
        <v>0.68700849847915002</v>
      </c>
      <c r="J28" s="18"/>
      <c r="K28" s="18"/>
      <c r="L28" s="18"/>
      <c r="M28" s="65" t="s">
        <v>49</v>
      </c>
      <c r="N28" s="66">
        <f>N24*N25+N26*N27</f>
        <v>220.66858752496529</v>
      </c>
      <c r="O28" s="6"/>
      <c r="P28" s="6"/>
      <c r="Q28" s="6"/>
    </row>
    <row r="29" spans="2:17" ht="17" thickBot="1">
      <c r="B29" s="11" t="s">
        <v>29</v>
      </c>
      <c r="C29" s="40"/>
      <c r="D29" s="41">
        <f>D26*D28</f>
        <v>1391401.7740902279</v>
      </c>
      <c r="E29" s="41">
        <f t="shared" ref="E29:I29" si="3">E26*E28</f>
        <v>1059225.943529303</v>
      </c>
      <c r="F29" s="41">
        <f t="shared" si="3"/>
        <v>1021644.5781179145</v>
      </c>
      <c r="G29" s="41">
        <f t="shared" si="3"/>
        <v>986752.8085222384</v>
      </c>
      <c r="H29" s="41">
        <f t="shared" si="3"/>
        <v>954360.00472347799</v>
      </c>
      <c r="I29" s="42">
        <f t="shared" si="3"/>
        <v>924292.86041511258</v>
      </c>
      <c r="J29" s="18"/>
      <c r="K29" s="18"/>
      <c r="L29" s="18"/>
      <c r="M29" s="67" t="s">
        <v>52</v>
      </c>
      <c r="N29" s="68">
        <v>0.59708031790522764</v>
      </c>
      <c r="O29" s="6"/>
      <c r="P29" s="6"/>
      <c r="Q29" s="6"/>
    </row>
    <row r="30" spans="2:17" ht="16">
      <c r="J30" s="44"/>
      <c r="K30" s="44"/>
      <c r="L30" s="44"/>
      <c r="M30" s="44"/>
      <c r="N30" s="44"/>
      <c r="O30" s="44"/>
      <c r="P30" s="44"/>
      <c r="Q30" s="44"/>
    </row>
    <row r="31" spans="2:17" ht="16"/>
    <row r="32" spans="2:17" ht="16"/>
    <row r="33" spans="4:4" ht="16"/>
    <row r="34" spans="4:4" ht="16"/>
    <row r="35" spans="4:4" ht="16"/>
    <row r="36" spans="4:4" ht="16"/>
    <row r="37" spans="4:4" ht="16" hidden="1"/>
    <row r="38" spans="4:4" ht="16" hidden="1"/>
    <row r="39" spans="4:4" ht="16" hidden="1"/>
    <row r="40" spans="4:4" ht="16" hidden="1">
      <c r="D40" s="5"/>
    </row>
    <row r="41" spans="4:4" ht="16" hidden="1"/>
    <row r="42" spans="4:4" ht="16" hidden="1"/>
    <row r="43" spans="4:4" ht="16" hidden="1"/>
    <row r="44" spans="4:4" ht="16" hidden="1"/>
    <row r="45" spans="4:4" ht="16" hidden="1"/>
    <row r="46" spans="4:4" ht="16" hidden="1"/>
    <row r="47" spans="4:4" ht="16"/>
  </sheetData>
  <mergeCells count="6">
    <mergeCell ref="M23:N23"/>
    <mergeCell ref="D3:I3"/>
    <mergeCell ref="M7:N7"/>
    <mergeCell ref="P7:Q7"/>
    <mergeCell ref="M8:N8"/>
    <mergeCell ref="P8:Q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Summary</vt:lpstr>
      <vt:lpstr>Financial Statements</vt:lpstr>
      <vt:lpstr>Revenue Build</vt:lpstr>
      <vt:lpstr>Assumptions</vt:lpstr>
      <vt:lpstr>Calculations &amp; Schedules</vt:lpstr>
      <vt:lpstr>DCF</vt:lpstr>
      <vt:lpstr>WACC</vt:lpstr>
      <vt:lpstr>Comps</vt:lpstr>
      <vt:lpstr>Base Case Revenue Projection</vt:lpstr>
      <vt:lpstr>Terminal Values (Base)</vt:lpstr>
      <vt:lpstr>Bear Case Projection</vt:lpstr>
      <vt:lpstr>Bull Case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Lee</dc:creator>
  <cp:lastModifiedBy>Ryan Lee</cp:lastModifiedBy>
  <dcterms:created xsi:type="dcterms:W3CDTF">2025-12-28T00:26:38Z</dcterms:created>
  <dcterms:modified xsi:type="dcterms:W3CDTF">2026-01-08T00:01:51Z</dcterms:modified>
</cp:coreProperties>
</file>